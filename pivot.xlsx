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0380" windowHeight="7220" activeTab="1"/>
  </bookViews>
  <sheets>
    <sheet name="pivot practicals" sheetId="5" r:id="rId1"/>
    <sheet name="Sheet4" sheetId="4" r:id="rId2"/>
  </sheets>
  <definedNames>
    <definedName name="_xlnm._FilterDatabase" localSheetId="1" hidden="1">Sheet4!$D$1:$D$50</definedName>
    <definedName name="NativeTimeline_Ship_Date">#N/A</definedName>
    <definedName name="profit">Sheet4!$U$2:$U$50</definedName>
    <definedName name="quantity">Sheet4!$S$2:$S$50</definedName>
    <definedName name="sales">Sheet4!$R$1:$R$50</definedName>
    <definedName name="Slicer_Region">#N/A</definedName>
  </definedNames>
  <calcPr calcId="191029"/>
  <pivotCaches>
    <pivotCache cacheId="2"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1" i="4" l="1"/>
  <c r="U51" i="4"/>
  <c r="R51" i="4"/>
</calcChain>
</file>

<file path=xl/connections.xml><?xml version="1.0" encoding="utf-8"?>
<connections xmlns="http://schemas.openxmlformats.org/spreadsheetml/2006/main">
  <connection id="1" keepAlive="1" name="Query - mj" description="Connection to the 'mj' query in the workbook." type="5" refreshedVersion="6" background="1" saveData="1">
    <dbPr connection="Provider=Microsoft.Mashup.OleDb.1;Data Source=$Workbook$;Location=mj;Extended Properties=&quot;&quot;" command="SELECT * FROM [mj]"/>
  </connection>
</connections>
</file>

<file path=xl/sharedStrings.xml><?xml version="1.0" encoding="utf-8"?>
<sst xmlns="http://schemas.openxmlformats.org/spreadsheetml/2006/main" count="698" uniqueCount="266">
  <si>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</si>
  <si>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</si>
  <si>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</si>
  <si>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</si>
  <si>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</si>
  <si>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</si>
  <si>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</si>
  <si>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</si>
  <si>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</si>
  <si>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</si>
  <si>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</si>
  <si>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</si>
  <si>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</si>
  <si>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</si>
  <si>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</si>
  <si>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</si>
  <si>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</si>
  <si>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</si>
  <si>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</si>
  <si>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</si>
  <si>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</si>
  <si>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</si>
  <si>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</si>
  <si>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</si>
  <si>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</si>
  <si>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</si>
  <si>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</si>
  <si>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</si>
  <si>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</si>
  <si>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</si>
  <si>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</si>
  <si>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</si>
  <si>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</si>
  <si>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</si>
  <si>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</si>
  <si>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</si>
  <si>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</si>
  <si>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</si>
  <si>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</si>
  <si>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</si>
  <si>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</si>
  <si>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</si>
  <si>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</si>
  <si>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</si>
  <si>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</si>
  <si>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</si>
  <si>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</si>
  <si>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</si>
  <si>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</si>
  <si>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</si>
  <si>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</si>
  <si>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</si>
  <si>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</si>
  <si>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</si>
  <si>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</si>
  <si>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</si>
  <si>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</si>
  <si>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</si>
  <si>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</si>
  <si>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</si>
  <si>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</si>
  <si>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</si>
  <si>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</si>
  <si>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</si>
  <si>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</si>
  <si>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</si>
  <si>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</si>
  <si>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</si>
  <si>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</si>
  <si>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</si>
  <si>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</si>
  <si>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</si>
  <si>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</si>
  <si>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</si>
  <si>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</si>
  <si>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</si>
  <si>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</si>
  <si>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</si>
  <si>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</si>
  <si>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</si>
  <si>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</si>
  <si>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</si>
  <si>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</si>
  <si>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</si>
  <si>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</si>
  <si>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</si>
  <si>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</si>
  <si>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</si>
  <si>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</si>
  <si>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</si>
  <si>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</si>
  <si>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</si>
  <si>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</si>
  <si>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</si>
  <si>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</si>
  <si>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</si>
  <si>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</si>
  <si>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</si>
  <si>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</si>
  <si>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</si>
  <si>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</si>
  <si>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</si>
  <si>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</si>
  <si>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</si>
  <si>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</si>
  <si>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</si>
  <si>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</si>
  <si>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</si>
  <si>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</si>
  <si>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</si>
  <si>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</si>
  <si>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</si>
  <si>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</si>
  <si>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</si>
  <si>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</si>
  <si>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</si>
  <si>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</si>
  <si>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</si>
  <si>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</si>
  <si>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</si>
  <si>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</si>
  <si>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</si>
  <si>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</si>
  <si>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</si>
  <si>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</si>
  <si>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</si>
  <si>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</si>
  <si>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</si>
  <si>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</si>
  <si>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</si>
  <si>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</si>
  <si>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</si>
  <si>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</si>
  <si>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</si>
  <si>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</si>
  <si>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</si>
  <si>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</si>
  <si>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</si>
  <si>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</si>
  <si>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</si>
  <si>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</si>
  <si>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</si>
  <si>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</si>
  <si>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</si>
  <si>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</si>
  <si>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</si>
  <si>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</si>
  <si>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</si>
  <si>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</si>
  <si>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</si>
  <si>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</si>
  <si>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</si>
  <si>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</si>
  <si>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</si>
  <si>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</si>
  <si>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</si>
  <si>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</si>
  <si>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</si>
  <si>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</si>
  <si>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</si>
  <si>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</si>
  <si>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</si>
  <si>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</si>
  <si>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</si>
  <si>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</si>
  <si>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</si>
  <si>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</si>
  <si>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</si>
  <si>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</si>
  <si>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</si>
  <si>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</si>
  <si>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</si>
  <si>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</si>
  <si>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</si>
  <si>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</si>
  <si>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</si>
  <si>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</si>
  <si>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</si>
  <si>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</si>
  <si>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</si>
  <si>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</si>
  <si>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</si>
  <si>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</si>
  <si>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</si>
  <si>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</si>
  <si>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</si>
  <si>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</si>
  <si>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</si>
  <si>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</si>
  <si>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</si>
  <si>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</si>
  <si>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</si>
  <si>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</si>
  <si>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</si>
  <si>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</si>
  <si>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</si>
  <si>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</si>
  <si>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</si>
  <si>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</si>
  <si>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</si>
  <si>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</si>
  <si>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</si>
  <si>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</si>
  <si>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</si>
  <si>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</si>
  <si>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</si>
  <si>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</si>
  <si>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</si>
  <si>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</si>
  <si>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</si>
  <si>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</si>
  <si>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</si>
  <si>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</si>
  <si>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</si>
  <si>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</si>
  <si>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</si>
  <si>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</si>
  <si>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</si>
  <si>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</si>
  <si>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</si>
  <si>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</si>
  <si>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</si>
  <si>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</si>
  <si>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</si>
  <si>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</si>
  <si>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</si>
  <si>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</si>
  <si>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</si>
  <si>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</si>
  <si>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</si>
  <si>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</si>
  <si>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</si>
  <si>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</si>
  <si>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</si>
  <si>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</si>
  <si>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</si>
  <si>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</si>
  <si>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</si>
  <si>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</si>
  <si>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</si>
  <si>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</si>
  <si>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</si>
  <si>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</si>
  <si>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</si>
  <si>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</si>
  <si>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</si>
  <si>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</si>
  <si>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</si>
  <si>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</si>
  <si>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Grand Total</t>
  </si>
  <si>
    <t>Sum of Sales</t>
  </si>
  <si>
    <t>(All)</t>
  </si>
  <si>
    <t>ES-14080 Total</t>
  </si>
  <si>
    <t>Erin Smith Total</t>
  </si>
  <si>
    <t>AA-10480 Total</t>
  </si>
  <si>
    <t>Andrew Allen Total</t>
  </si>
  <si>
    <t>CG-12520 Total</t>
  </si>
  <si>
    <t>Claire Gute Total</t>
  </si>
  <si>
    <t>SO-20335 Total</t>
  </si>
  <si>
    <t>Sean O'Donnell Total</t>
  </si>
  <si>
    <t>Sum of Profit</t>
  </si>
  <si>
    <t>Values</t>
  </si>
  <si>
    <t>Total Sum of Sales</t>
  </si>
  <si>
    <t>Total Sum of Profit</t>
  </si>
  <si>
    <t>TOTAL</t>
  </si>
  <si>
    <t>OVERALL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</si>
</sst>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2"/>
      <color rgb="FF000000"/>
      <name val="Calibri"/>
      <family val="2"/>
      <scheme val="minor"/>
    </font>
  </fonts>
  <fills count="3">
    <fill>
      <patternFill patternType="none"/>
    </fill>
    <fill>
      <patternFill patternType="gray125"/>
    </fill>
    <fill>
      <patternFill patternType="solid">
        <fgColor theme="5"/>
        <bgColor theme="5"/>
      </patternFill>
    </fill>
  </fills>
  <borders count="3">
    <border>
      <left/>
      <right/>
      <top/>
      <bottom/>
      <diagonal/>
    </border>
    <border>
      <left style="thin">
        <color theme="5"/>
      </left>
      <right/>
      <top style="thin">
        <color theme="5"/>
      </top>
      <bottom/>
      <diagonal/>
    </border>
    <border>
      <left/>
      <right/>
      <top style="thin">
        <color theme="5"/>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NumberFormat="1"/>
    <xf numFmtId="0" fontId="1" fillId="0" borderId="0" xfId="1"/>
    <xf numFmtId="0" fontId="2" fillId="2" borderId="1" xfId="0" applyFont="1" applyFill="1" applyBorder="1"/>
    <xf numFmtId="0" fontId="2" fillId="2" borderId="2" xfId="0" applyFont="1" applyFill="1" applyBorder="1"/>
    <xf numFmtId="0" fontId="0" fillId="0" borderId="1" xfId="0" applyFont="1" applyBorder="1"/>
    <xf numFmtId="0" fontId="0" fillId="0" borderId="2" xfId="0" applyFont="1" applyBorder="1"/>
    <xf numFmtId="14" fontId="0" fillId="0" borderId="2" xfId="0" applyNumberFormat="1" applyFont="1" applyBorder="1"/>
    <xf numFmtId="0" fontId="0" fillId="0" borderId="0" xfId="0" pivotButton="1"/>
  </cellXfs>
  <cellStyles count="2">
    <cellStyle name="Hyperlink" xfId="1" builtinId="8"/>
    <cellStyle name="Normal" xfId="0" builtinId="0"/>
  </cellStyles>
  <dxfs count="5">
    <dxf>
      <font>
        <color rgb="FF9C5700"/>
      </font>
      <fill>
        <patternFill>
          <bgColor rgb="FFFFEB9C"/>
        </patternFill>
      </fill>
    </dxf>
    <dxf>
      <font>
        <color rgb="FF9C0006"/>
      </font>
      <fill>
        <patternFill>
          <bgColor rgb="FFFFC7CE"/>
        </patternFill>
      </fill>
    </dxf>
    <dxf>
      <font>
        <color rgb="FF9C0006"/>
      </font>
      <fill>
        <patternFill>
          <fgColor theme="4" tint="0.59996337778862885"/>
          <bgColor theme="4" tint="0.59996337778862885"/>
        </patternFill>
      </fill>
    </dxf>
    <dxf>
      <font>
        <color rgb="FF9C0006"/>
      </font>
      <fill>
        <patternFill>
          <bgColor rgb="FFFFC7CE"/>
        </patternFill>
      </fill>
    </dxf>
    <dxf>
      <font>
        <color rgb="FF006100"/>
      </font>
      <fill>
        <patternFill>
          <bgColor rgb="FFC6EFCE"/>
        </patternFill>
      </fill>
    </dxf>
  </dxfs>
  <tableStyles count="2" defaultTableStyle="TableStyleMedium2" defaultPivotStyle="PivotStyleLight16">
    <tableStyle name="PivotTable Style 1" table="0" count="0"/>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11/relationships/timelineCache" Target="timelineCaches/timelineCach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306918</xdr:colOff>
      <xdr:row>21</xdr:row>
      <xdr:rowOff>128058</xdr:rowOff>
    </xdr:from>
    <xdr:to>
      <xdr:col>8</xdr:col>
      <xdr:colOff>1164166</xdr:colOff>
      <xdr:row>25</xdr:row>
      <xdr:rowOff>84667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0335" y="4128558"/>
              <a:ext cx="7937498" cy="71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392641</xdr:colOff>
      <xdr:row>1</xdr:row>
      <xdr:rowOff>79375</xdr:rowOff>
    </xdr:from>
    <xdr:to>
      <xdr:col>12</xdr:col>
      <xdr:colOff>286808</xdr:colOff>
      <xdr:row>8</xdr:row>
      <xdr:rowOff>117475</xdr:rowOff>
    </xdr:to>
    <mc:AlternateContent xmlns:mc="http://schemas.openxmlformats.org/markup-compatibility/2006" xmlns:tsle="http://schemas.microsoft.com/office/drawing/2012/timeslicer">
      <mc:Choice Requires="tsle">
        <xdr:graphicFrame macro="">
          <xdr:nvGraphicFramePr>
            <xdr:cNvPr id="3" name="Ship Date">
              <a:extLst>
                <a:ext uri="{FF2B5EF4-FFF2-40B4-BE49-F238E27FC236}">
                  <a16:creationId xmlns="" xmlns:a16="http://schemas.microsoft.com/office/drawing/2014/main" id="{00000000-0008-0000-0600-000003000000}"/>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171641" y="2698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06.508502199074" createdVersion="6" refreshedVersion="6" minRefreshableVersion="3" recordCount="49">
  <cacheSource type="worksheet">
    <worksheetSource ref="A1:U50" sheet="Sheet4"/>
  </cacheSource>
  <cacheFields count="22">
    <cacheField name="Row ID" numFmtId="0">
      <sharedItems containsSemiMixedTypes="0" containsString="0" containsNumber="1" containsInteger="1" minValue="1" maxValue="49"/>
    </cacheField>
    <cacheField name="Order ID" numFmtId="0">
      <sharedItems/>
    </cacheField>
    <cacheField name="Order Date" numFmtId="14">
      <sharedItems containsSemiMixedTypes="0" containsNonDate="0" containsDate="1" containsString="0" minDate="2014-05-13T00:00:00" maxDate="2017-10-20T00:00:00"/>
    </cacheField>
    <cacheField name="Ship Date" numFmtId="14">
      <sharedItems containsSemiMixedTypes="0" containsNonDate="0" containsDate="1" containsString="0" minDate="2014-05-15T00:00:00" maxDate="2017-10-24T00:00:00" count="23">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sharedItems>
    </cacheField>
    <cacheField name="Ship Mode" numFmtId="0">
      <sharedItems/>
    </cacheField>
    <cacheField name="Customer ID" numFmtId="0">
      <sharedItems count="24">
        <s v="CG-12520"/>
        <s v="DV-13045"/>
        <s v="SO-20335"/>
        <s v="BH-11710"/>
        <s v="AA-10480"/>
        <s v="IM-15070"/>
        <s v="HP-14815"/>
        <s v="PK-19075"/>
        <s v="AG-10270"/>
        <s v="ZD-21925"/>
        <s v="KB-16585"/>
        <s v="SF-20065"/>
        <s v="EB-13870"/>
        <s v="EH-13945"/>
        <s v="TB-21520"/>
        <s v="MA-17560"/>
        <s v="GH-14485"/>
        <s v="SN-20710"/>
        <s v="LC-16930"/>
        <s v="RA-19885"/>
        <s v="ES-14080"/>
        <s v="ON-18715"/>
        <s v="PO-18865"/>
        <s v="LH-16900"/>
      </sharedItems>
    </cacheField>
    <cacheField name="Customer Name" numFmtId="0">
      <sharedItems count="2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9140" maxValue="98103"/>
    </cacheField>
    <cacheField name="Region" numFmtId="0">
      <sharedItems count="4">
        <s v="South"/>
        <s v="West"/>
        <s v="Central"/>
        <s v="East"/>
      </sharedItems>
    </cacheField>
    <cacheField name="Product ID" numFmtId="0">
      <sharedItems count="48">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haredItems>
    </cacheField>
    <cacheField name="Category" numFmtId="0">
      <sharedItems count="3">
        <s v="Furniture"/>
        <s v="Office Supplies"/>
        <s v="Technology"/>
      </sharedItems>
    </cacheField>
    <cacheField name="Sub-Category" numFmtId="0">
      <sharedItems count="13">
        <s v="Bookcases"/>
        <s v="Chairs"/>
        <s v="Labels"/>
        <s v="Tables"/>
        <s v="Storage"/>
        <s v="Furnishings"/>
        <s v="Art"/>
        <s v="Phones"/>
        <s v="Binders"/>
        <s v="Appliances"/>
        <s v="Paper"/>
        <s v="Accessories"/>
        <s v="Envelopes"/>
      </sharedItems>
    </cacheField>
    <cacheField name="Product Name" numFmtId="0">
      <sharedItems/>
    </cacheField>
    <cacheField name="Sales" numFmtId="0">
      <sharedItems containsSemiMixedTypes="0" containsString="0" containsNumber="1" minValue="2.5439999999999996" maxValue="3083.4300000000003"/>
    </cacheField>
    <cacheField name="Quantity" numFmtId="0">
      <sharedItems containsSemiMixedTypes="0" containsString="0" containsNumber="1" containsInteger="1" minValue="2" maxValue="9"/>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40.26490000000001" count="49">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sharedItems>
    </cacheField>
    <cacheField name="Field1" numFmtId="0" formula="Profit*100" databaseField="0"/>
  </cacheFields>
  <extLst>
    <ext xmlns:x14="http://schemas.microsoft.com/office/spreadsheetml/2009/9/main" uri="{725AE2AE-9491-48be-B2B4-4EB974FC3084}">
      <x14:pivotCacheDefinition pivotCacheId="1443432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s v="CA-2016-152156"/>
    <d v="2016-11-08T00:00:00"/>
    <x v="0"/>
    <s v="Second Class"/>
    <x v="0"/>
    <x v="0"/>
    <x v="0"/>
    <s v="United States"/>
    <s v="Henderson"/>
    <s v="Kentucky"/>
    <n v="42420"/>
    <x v="0"/>
    <x v="0"/>
    <x v="0"/>
    <x v="0"/>
    <s v="Bush Somerset Collection Bookcase"/>
    <n v="261.95999999999998"/>
    <n v="2"/>
    <n v="0"/>
    <x v="0"/>
  </r>
  <r>
    <n v="2"/>
    <s v="CA-2016-152156"/>
    <d v="2016-11-08T00:00:00"/>
    <x v="0"/>
    <s v="Second Class"/>
    <x v="0"/>
    <x v="0"/>
    <x v="0"/>
    <s v="United States"/>
    <s v="Henderson"/>
    <s v="Kentucky"/>
    <n v="42420"/>
    <x v="0"/>
    <x v="1"/>
    <x v="0"/>
    <x v="1"/>
    <s v="Hon Deluxe Fabric Upholstered Stacking Chairs, Rounded Back"/>
    <n v="731.93999999999994"/>
    <n v="3"/>
    <n v="0"/>
    <x v="1"/>
  </r>
  <r>
    <n v="3"/>
    <s v="CA-2016-138688"/>
    <d v="2016-06-12T00:00:00"/>
    <x v="1"/>
    <s v="Second Class"/>
    <x v="1"/>
    <x v="1"/>
    <x v="1"/>
    <s v="United States"/>
    <s v="Los Angeles"/>
    <s v="California"/>
    <n v="90036"/>
    <x v="1"/>
    <x v="2"/>
    <x v="1"/>
    <x v="2"/>
    <s v="Self-Adhesive Address Labels for Typewriters by Universal"/>
    <n v="14.62"/>
    <n v="2"/>
    <n v="0"/>
    <x v="2"/>
  </r>
  <r>
    <n v="4"/>
    <s v="US-2015-108966"/>
    <d v="2015-10-11T00:00:00"/>
    <x v="2"/>
    <s v="Standard Class"/>
    <x v="2"/>
    <x v="2"/>
    <x v="0"/>
    <s v="United States"/>
    <s v="Fort Lauderdale"/>
    <s v="Florida"/>
    <n v="33311"/>
    <x v="0"/>
    <x v="3"/>
    <x v="0"/>
    <x v="3"/>
    <s v="Bretford CR4500 Series Slim Rectangular Table"/>
    <n v="957.57749999999999"/>
    <n v="5"/>
    <n v="0.45"/>
    <x v="3"/>
  </r>
  <r>
    <n v="5"/>
    <s v="US-2015-108966"/>
    <d v="2015-10-11T00:00:00"/>
    <x v="2"/>
    <s v="Standard Class"/>
    <x v="2"/>
    <x v="2"/>
    <x v="0"/>
    <s v="United States"/>
    <s v="Fort Lauderdale"/>
    <s v="Florida"/>
    <n v="33311"/>
    <x v="0"/>
    <x v="4"/>
    <x v="1"/>
    <x v="4"/>
    <s v="Eldon Fold 'N Roll Cart System"/>
    <n v="22.368000000000002"/>
    <n v="2"/>
    <n v="0.2"/>
    <x v="4"/>
  </r>
  <r>
    <n v="6"/>
    <s v="CA-2014-115812"/>
    <d v="2014-06-09T00:00:00"/>
    <x v="3"/>
    <s v="Standard Class"/>
    <x v="3"/>
    <x v="3"/>
    <x v="0"/>
    <s v="United States"/>
    <s v="Los Angeles"/>
    <s v="California"/>
    <n v="90032"/>
    <x v="1"/>
    <x v="5"/>
    <x v="0"/>
    <x v="5"/>
    <s v="Eldon Expressions Wood and Plastic Desk Accessories, Cherry Wood"/>
    <n v="48.86"/>
    <n v="7"/>
    <n v="0"/>
    <x v="5"/>
  </r>
  <r>
    <n v="7"/>
    <s v="CA-2014-115812"/>
    <d v="2014-06-09T00:00:00"/>
    <x v="3"/>
    <s v="Standard Class"/>
    <x v="3"/>
    <x v="3"/>
    <x v="0"/>
    <s v="United States"/>
    <s v="Los Angeles"/>
    <s v="California"/>
    <n v="90032"/>
    <x v="1"/>
    <x v="6"/>
    <x v="1"/>
    <x v="6"/>
    <s v="Newell 322"/>
    <n v="7.28"/>
    <n v="4"/>
    <n v="0"/>
    <x v="6"/>
  </r>
  <r>
    <n v="8"/>
    <s v="CA-2014-115812"/>
    <d v="2014-06-09T00:00:00"/>
    <x v="3"/>
    <s v="Standard Class"/>
    <x v="3"/>
    <x v="3"/>
    <x v="0"/>
    <s v="United States"/>
    <s v="Los Angeles"/>
    <s v="California"/>
    <n v="90032"/>
    <x v="1"/>
    <x v="7"/>
    <x v="2"/>
    <x v="7"/>
    <s v="Mitel 5320 IP Phone VoIP phone"/>
    <n v="907.15200000000004"/>
    <n v="6"/>
    <n v="0.2"/>
    <x v="7"/>
  </r>
  <r>
    <n v="9"/>
    <s v="CA-2014-115812"/>
    <d v="2014-06-09T00:00:00"/>
    <x v="3"/>
    <s v="Standard Class"/>
    <x v="3"/>
    <x v="3"/>
    <x v="0"/>
    <s v="United States"/>
    <s v="Los Angeles"/>
    <s v="California"/>
    <n v="90032"/>
    <x v="1"/>
    <x v="8"/>
    <x v="1"/>
    <x v="8"/>
    <s v="DXL Angle-View Binders with Locking Rings by Samsill"/>
    <n v="18.504000000000001"/>
    <n v="3"/>
    <n v="0.2"/>
    <x v="8"/>
  </r>
  <r>
    <n v="10"/>
    <s v="CA-2014-115812"/>
    <d v="2014-06-09T00:00:00"/>
    <x v="3"/>
    <s v="Standard Class"/>
    <x v="3"/>
    <x v="3"/>
    <x v="0"/>
    <s v="United States"/>
    <s v="Los Angeles"/>
    <s v="California"/>
    <n v="90032"/>
    <x v="1"/>
    <x v="9"/>
    <x v="1"/>
    <x v="9"/>
    <s v="Belkin F5C206VTEL 6 Outlet Surge"/>
    <n v="114.9"/>
    <n v="5"/>
    <n v="0"/>
    <x v="9"/>
  </r>
  <r>
    <n v="11"/>
    <s v="CA-2014-115812"/>
    <d v="2014-06-09T00:00:00"/>
    <x v="3"/>
    <s v="Standard Class"/>
    <x v="3"/>
    <x v="3"/>
    <x v="0"/>
    <s v="United States"/>
    <s v="Los Angeles"/>
    <s v="California"/>
    <n v="90032"/>
    <x v="1"/>
    <x v="10"/>
    <x v="0"/>
    <x v="3"/>
    <s v="Chromcraft Rectangular Conference Tables"/>
    <n v="1706.1840000000002"/>
    <n v="9"/>
    <n v="0.2"/>
    <x v="10"/>
  </r>
  <r>
    <n v="12"/>
    <s v="CA-2014-115812"/>
    <d v="2014-06-09T00:00:00"/>
    <x v="3"/>
    <s v="Standard Class"/>
    <x v="3"/>
    <x v="3"/>
    <x v="0"/>
    <s v="United States"/>
    <s v="Los Angeles"/>
    <s v="California"/>
    <n v="90032"/>
    <x v="1"/>
    <x v="11"/>
    <x v="2"/>
    <x v="7"/>
    <s v="Konftel 250 Conference phone - Charcoal black"/>
    <n v="911.42399999999998"/>
    <n v="4"/>
    <n v="0.2"/>
    <x v="11"/>
  </r>
  <r>
    <n v="13"/>
    <s v="CA-2017-114412"/>
    <d v="2017-04-15T00:00:00"/>
    <x v="4"/>
    <s v="Standard Class"/>
    <x v="4"/>
    <x v="4"/>
    <x v="0"/>
    <s v="United States"/>
    <s v="Concord"/>
    <s v="North Carolina"/>
    <n v="28027"/>
    <x v="0"/>
    <x v="12"/>
    <x v="1"/>
    <x v="10"/>
    <s v="Xerox 1967"/>
    <n v="15.552000000000003"/>
    <n v="3"/>
    <n v="0.2"/>
    <x v="12"/>
  </r>
  <r>
    <n v="14"/>
    <s v="CA-2016-161389"/>
    <d v="2016-12-05T00:00:00"/>
    <x v="5"/>
    <s v="Standard Class"/>
    <x v="5"/>
    <x v="5"/>
    <x v="0"/>
    <s v="United States"/>
    <s v="Seattle"/>
    <s v="Washington"/>
    <n v="98103"/>
    <x v="1"/>
    <x v="13"/>
    <x v="1"/>
    <x v="8"/>
    <s v="Fellowes PB200 Plastic Comb Binding Machine"/>
    <n v="407.97600000000006"/>
    <n v="3"/>
    <n v="0.2"/>
    <x v="13"/>
  </r>
  <r>
    <n v="15"/>
    <s v="US-2015-118983"/>
    <d v="2015-11-22T00:00:00"/>
    <x v="6"/>
    <s v="Standard Class"/>
    <x v="6"/>
    <x v="6"/>
    <x v="2"/>
    <s v="United States"/>
    <s v="Fort Worth"/>
    <s v="Texas"/>
    <n v="76106"/>
    <x v="2"/>
    <x v="14"/>
    <x v="1"/>
    <x v="9"/>
    <s v="Holmes Replacement Filter for HEPA Air Cleaner, Very Large Room, HEPA Filter"/>
    <n v="68.809999999999988"/>
    <n v="5"/>
    <n v="0.8"/>
    <x v="14"/>
  </r>
  <r>
    <n v="16"/>
    <s v="US-2015-118983"/>
    <d v="2015-11-22T00:00:00"/>
    <x v="6"/>
    <s v="Standard Class"/>
    <x v="6"/>
    <x v="6"/>
    <x v="2"/>
    <s v="United States"/>
    <s v="Fort Worth"/>
    <s v="Texas"/>
    <n v="76106"/>
    <x v="2"/>
    <x v="15"/>
    <x v="1"/>
    <x v="8"/>
    <s v="Storex DuraTech Recycled Plastic Frosted Binders"/>
    <n v="2.5439999999999996"/>
    <n v="3"/>
    <n v="0.8"/>
    <x v="15"/>
  </r>
  <r>
    <n v="17"/>
    <s v="CA-2014-105893"/>
    <d v="2014-11-11T00:00:00"/>
    <x v="7"/>
    <s v="Standard Class"/>
    <x v="7"/>
    <x v="7"/>
    <x v="0"/>
    <s v="United States"/>
    <s v="Madison"/>
    <s v="Wisconsin"/>
    <n v="53711"/>
    <x v="2"/>
    <x v="16"/>
    <x v="1"/>
    <x v="4"/>
    <s v="Stur-D-Stor Shelving, Vertical 5-Shelf: 72&quot;H x 36&quot;W x 18 1/2&quot;D"/>
    <n v="665.88"/>
    <n v="6"/>
    <n v="0"/>
    <x v="16"/>
  </r>
  <r>
    <n v="18"/>
    <s v="CA-2014-167164"/>
    <d v="2014-05-13T00:00:00"/>
    <x v="8"/>
    <s v="Second Class"/>
    <x v="8"/>
    <x v="8"/>
    <x v="0"/>
    <s v="United States"/>
    <s v="West Jordan"/>
    <s v="Utah"/>
    <n v="84084"/>
    <x v="1"/>
    <x v="17"/>
    <x v="1"/>
    <x v="4"/>
    <s v="Fellowes Super Stor/Drawer"/>
    <n v="55.5"/>
    <n v="2"/>
    <n v="0"/>
    <x v="17"/>
  </r>
  <r>
    <n v="19"/>
    <s v="CA-2014-143336"/>
    <d v="2014-08-27T00:00:00"/>
    <x v="9"/>
    <s v="Second Class"/>
    <x v="9"/>
    <x v="9"/>
    <x v="0"/>
    <s v="United States"/>
    <s v="San Francisco"/>
    <s v="California"/>
    <n v="94109"/>
    <x v="1"/>
    <x v="18"/>
    <x v="1"/>
    <x v="6"/>
    <s v="Newell 341"/>
    <n v="8.56"/>
    <n v="2"/>
    <n v="0"/>
    <x v="18"/>
  </r>
  <r>
    <n v="20"/>
    <s v="CA-2014-143336"/>
    <d v="2014-08-27T00:00:00"/>
    <x v="9"/>
    <s v="Second Class"/>
    <x v="9"/>
    <x v="9"/>
    <x v="0"/>
    <s v="United States"/>
    <s v="San Francisco"/>
    <s v="California"/>
    <n v="94109"/>
    <x v="1"/>
    <x v="19"/>
    <x v="2"/>
    <x v="7"/>
    <s v="Cisco SPA 501G IP Phone"/>
    <n v="213.48000000000002"/>
    <n v="3"/>
    <n v="0.2"/>
    <x v="19"/>
  </r>
  <r>
    <n v="21"/>
    <s v="CA-2014-143336"/>
    <d v="2014-08-27T00:00:00"/>
    <x v="9"/>
    <s v="Second Class"/>
    <x v="9"/>
    <x v="9"/>
    <x v="0"/>
    <s v="United States"/>
    <s v="San Francisco"/>
    <s v="California"/>
    <n v="94109"/>
    <x v="1"/>
    <x v="20"/>
    <x v="1"/>
    <x v="8"/>
    <s v="Wilson Jones Hanging View Binder, White, 1&quot;"/>
    <n v="22.72"/>
    <n v="4"/>
    <n v="0.2"/>
    <x v="20"/>
  </r>
  <r>
    <n v="22"/>
    <s v="CA-2016-137330"/>
    <d v="2016-12-09T00:00:00"/>
    <x v="10"/>
    <s v="Standard Class"/>
    <x v="10"/>
    <x v="10"/>
    <x v="1"/>
    <s v="United States"/>
    <s v="Fremont"/>
    <s v="Nebraska"/>
    <n v="68025"/>
    <x v="2"/>
    <x v="21"/>
    <x v="1"/>
    <x v="6"/>
    <s v="Newell 318"/>
    <n v="19.459999999999997"/>
    <n v="7"/>
    <n v="0"/>
    <x v="21"/>
  </r>
  <r>
    <n v="23"/>
    <s v="CA-2016-137330"/>
    <d v="2016-12-09T00:00:00"/>
    <x v="10"/>
    <s v="Standard Class"/>
    <x v="10"/>
    <x v="10"/>
    <x v="1"/>
    <s v="United States"/>
    <s v="Fremont"/>
    <s v="Nebraska"/>
    <n v="68025"/>
    <x v="2"/>
    <x v="22"/>
    <x v="1"/>
    <x v="9"/>
    <s v="Acco Six-Outlet Power Strip, 4' Cord Length"/>
    <n v="60.339999999999996"/>
    <n v="7"/>
    <n v="0"/>
    <x v="22"/>
  </r>
  <r>
    <n v="24"/>
    <s v="US-2017-156909"/>
    <d v="2017-07-16T00:00:00"/>
    <x v="11"/>
    <s v="Second Class"/>
    <x v="11"/>
    <x v="11"/>
    <x v="0"/>
    <s v="United States"/>
    <s v="Philadelphia"/>
    <s v="Pennsylvania"/>
    <n v="19140"/>
    <x v="3"/>
    <x v="23"/>
    <x v="0"/>
    <x v="1"/>
    <s v="Global Deluxe Stacking Chair, Gray"/>
    <n v="71.371999999999986"/>
    <n v="2"/>
    <n v="0.3"/>
    <x v="23"/>
  </r>
  <r>
    <n v="25"/>
    <s v="CA-2015-106320"/>
    <d v="2015-09-25T00:00:00"/>
    <x v="12"/>
    <s v="Standard Class"/>
    <x v="12"/>
    <x v="12"/>
    <x v="0"/>
    <s v="United States"/>
    <s v="Orem"/>
    <s v="Utah"/>
    <n v="84057"/>
    <x v="1"/>
    <x v="3"/>
    <x v="0"/>
    <x v="3"/>
    <s v="Bretford CR4500 Series Slim Rectangular Table"/>
    <n v="1044.6299999999999"/>
    <n v="3"/>
    <n v="0"/>
    <x v="24"/>
  </r>
  <r>
    <n v="26"/>
    <s v="CA-2016-121755"/>
    <d v="2016-01-16T00:00:00"/>
    <x v="13"/>
    <s v="Second Class"/>
    <x v="13"/>
    <x v="13"/>
    <x v="0"/>
    <s v="United States"/>
    <s v="Los Angeles"/>
    <s v="California"/>
    <n v="90049"/>
    <x v="1"/>
    <x v="24"/>
    <x v="1"/>
    <x v="8"/>
    <s v="Wilson Jones Active Use Binders"/>
    <n v="11.648000000000001"/>
    <n v="2"/>
    <n v="0.2"/>
    <x v="25"/>
  </r>
  <r>
    <n v="27"/>
    <s v="CA-2016-121755"/>
    <d v="2016-01-16T00:00:00"/>
    <x v="13"/>
    <s v="Second Class"/>
    <x v="13"/>
    <x v="13"/>
    <x v="0"/>
    <s v="United States"/>
    <s v="Los Angeles"/>
    <s v="California"/>
    <n v="90049"/>
    <x v="1"/>
    <x v="25"/>
    <x v="2"/>
    <x v="11"/>
    <s v="Imation 8GB Mini TravelDrive USB 2.0 Flash Drive"/>
    <n v="90.570000000000007"/>
    <n v="3"/>
    <n v="0"/>
    <x v="26"/>
  </r>
  <r>
    <n v="28"/>
    <s v="US-2015-150630"/>
    <d v="2015-09-17T00:00:00"/>
    <x v="14"/>
    <s v="Standard Class"/>
    <x v="14"/>
    <x v="14"/>
    <x v="0"/>
    <s v="United States"/>
    <s v="Philadelphia"/>
    <s v="Pennsylvania"/>
    <n v="19140"/>
    <x v="3"/>
    <x v="26"/>
    <x v="0"/>
    <x v="0"/>
    <s v="Riverside Palais Royal Lawyers Bookcase, Royale Cherry Finish"/>
    <n v="3083.4300000000003"/>
    <n v="7"/>
    <n v="0.5"/>
    <x v="27"/>
  </r>
  <r>
    <n v="29"/>
    <s v="US-2015-150630"/>
    <d v="2015-09-17T00:00:00"/>
    <x v="14"/>
    <s v="Standard Class"/>
    <x v="14"/>
    <x v="14"/>
    <x v="0"/>
    <s v="United States"/>
    <s v="Philadelphia"/>
    <s v="Pennsylvania"/>
    <n v="19140"/>
    <x v="3"/>
    <x v="27"/>
    <x v="1"/>
    <x v="8"/>
    <s v="Avery Recycled Flexi-View Covers for Binding Systems"/>
    <n v="9.6180000000000021"/>
    <n v="2"/>
    <n v="0.7"/>
    <x v="28"/>
  </r>
  <r>
    <n v="30"/>
    <s v="US-2015-150630"/>
    <d v="2015-09-17T00:00:00"/>
    <x v="14"/>
    <s v="Standard Class"/>
    <x v="14"/>
    <x v="14"/>
    <x v="0"/>
    <s v="United States"/>
    <s v="Philadelphia"/>
    <s v="Pennsylvania"/>
    <n v="19140"/>
    <x v="3"/>
    <x v="28"/>
    <x v="0"/>
    <x v="5"/>
    <s v="Howard Miller 13-3/4&quot; Diameter Brushed Chrome Round Wall Clock"/>
    <n v="124.20000000000002"/>
    <n v="3"/>
    <n v="0.2"/>
    <x v="29"/>
  </r>
  <r>
    <n v="31"/>
    <s v="US-2015-150630"/>
    <d v="2015-09-17T00:00:00"/>
    <x v="14"/>
    <s v="Standard Class"/>
    <x v="14"/>
    <x v="14"/>
    <x v="0"/>
    <s v="United States"/>
    <s v="Philadelphia"/>
    <s v="Pennsylvania"/>
    <n v="19140"/>
    <x v="3"/>
    <x v="29"/>
    <x v="1"/>
    <x v="12"/>
    <s v="Poly String Tie Envelopes"/>
    <n v="3.2640000000000002"/>
    <n v="2"/>
    <n v="0.2"/>
    <x v="30"/>
  </r>
  <r>
    <n v="32"/>
    <s v="US-2015-150630"/>
    <d v="2015-09-17T00:00:00"/>
    <x v="14"/>
    <s v="Standard Class"/>
    <x v="14"/>
    <x v="14"/>
    <x v="0"/>
    <s v="United States"/>
    <s v="Philadelphia"/>
    <s v="Pennsylvania"/>
    <n v="19140"/>
    <x v="3"/>
    <x v="30"/>
    <x v="1"/>
    <x v="6"/>
    <s v="BOSTON Model 1800 Electric Pencil Sharpeners, Putty/Woodgrain"/>
    <n v="86.304000000000002"/>
    <n v="6"/>
    <n v="0.2"/>
    <x v="31"/>
  </r>
  <r>
    <n v="33"/>
    <s v="US-2015-150630"/>
    <d v="2015-09-17T00:00:00"/>
    <x v="14"/>
    <s v="Standard Class"/>
    <x v="14"/>
    <x v="14"/>
    <x v="0"/>
    <s v="United States"/>
    <s v="Philadelphia"/>
    <s v="Pennsylvania"/>
    <n v="19140"/>
    <x v="3"/>
    <x v="31"/>
    <x v="1"/>
    <x v="8"/>
    <s v="Acco Pressboard Covers with Storage Hooks, 14 7/8&quot; x 11&quot;, Executive Red"/>
    <n v="6.8580000000000014"/>
    <n v="6"/>
    <n v="0.7"/>
    <x v="32"/>
  </r>
  <r>
    <n v="34"/>
    <s v="US-2015-150630"/>
    <d v="2015-09-17T00:00:00"/>
    <x v="14"/>
    <s v="Standard Class"/>
    <x v="14"/>
    <x v="14"/>
    <x v="0"/>
    <s v="United States"/>
    <s v="Philadelphia"/>
    <s v="Pennsylvania"/>
    <n v="19140"/>
    <x v="3"/>
    <x v="32"/>
    <x v="1"/>
    <x v="6"/>
    <s v="Lumber Crayons"/>
    <n v="15.76"/>
    <n v="2"/>
    <n v="0.2"/>
    <x v="33"/>
  </r>
  <r>
    <n v="35"/>
    <s v="CA-2017-107727"/>
    <d v="2017-10-19T00:00:00"/>
    <x v="15"/>
    <s v="Second Class"/>
    <x v="15"/>
    <x v="15"/>
    <x v="2"/>
    <s v="United States"/>
    <s v="Houston"/>
    <s v="Texas"/>
    <n v="77095"/>
    <x v="2"/>
    <x v="33"/>
    <x v="1"/>
    <x v="10"/>
    <s v="Easy-staple paper"/>
    <n v="29.472000000000001"/>
    <n v="3"/>
    <n v="0.2"/>
    <x v="34"/>
  </r>
  <r>
    <n v="36"/>
    <s v="CA-2016-117590"/>
    <d v="2016-12-08T00:00:00"/>
    <x v="5"/>
    <s v="First Class"/>
    <x v="16"/>
    <x v="16"/>
    <x v="1"/>
    <s v="United States"/>
    <s v="Richardson"/>
    <s v="Texas"/>
    <n v="75080"/>
    <x v="2"/>
    <x v="34"/>
    <x v="2"/>
    <x v="7"/>
    <s v="GE 30524EE4"/>
    <n v="1097.5440000000003"/>
    <n v="7"/>
    <n v="0.2"/>
    <x v="35"/>
  </r>
  <r>
    <n v="37"/>
    <s v="CA-2016-117590"/>
    <d v="2016-12-08T00:00:00"/>
    <x v="5"/>
    <s v="First Class"/>
    <x v="16"/>
    <x v="16"/>
    <x v="1"/>
    <s v="United States"/>
    <s v="Richardson"/>
    <s v="Texas"/>
    <n v="75080"/>
    <x v="2"/>
    <x v="35"/>
    <x v="0"/>
    <x v="5"/>
    <s v="Electrix Architect's Clamp-On Swing Arm Lamp, Black"/>
    <n v="190.92"/>
    <n v="5"/>
    <n v="0.6"/>
    <x v="36"/>
  </r>
  <r>
    <n v="38"/>
    <s v="CA-2015-117415"/>
    <d v="2015-12-27T00:00:00"/>
    <x v="16"/>
    <s v="Standard Class"/>
    <x v="17"/>
    <x v="17"/>
    <x v="2"/>
    <s v="United States"/>
    <s v="Houston"/>
    <s v="Texas"/>
    <n v="77041"/>
    <x v="2"/>
    <x v="36"/>
    <x v="1"/>
    <x v="12"/>
    <s v="#10-4 1/8&quot; x 9 1/2&quot; Premium Diagonal Seam Envelopes"/>
    <n v="113.328"/>
    <n v="9"/>
    <n v="0.2"/>
    <x v="37"/>
  </r>
  <r>
    <n v="39"/>
    <s v="CA-2015-117415"/>
    <d v="2015-12-27T00:00:00"/>
    <x v="16"/>
    <s v="Standard Class"/>
    <x v="17"/>
    <x v="17"/>
    <x v="2"/>
    <s v="United States"/>
    <s v="Houston"/>
    <s v="Texas"/>
    <n v="77041"/>
    <x v="2"/>
    <x v="37"/>
    <x v="0"/>
    <x v="0"/>
    <s v="Atlantic Metals Mobile 3-Shelf Bookcases, Custom Colors"/>
    <n v="532.39919999999995"/>
    <n v="3"/>
    <n v="0.32"/>
    <x v="38"/>
  </r>
  <r>
    <n v="40"/>
    <s v="CA-2015-117415"/>
    <d v="2015-12-27T00:00:00"/>
    <x v="16"/>
    <s v="Standard Class"/>
    <x v="17"/>
    <x v="17"/>
    <x v="2"/>
    <s v="United States"/>
    <s v="Houston"/>
    <s v="Texas"/>
    <n v="77041"/>
    <x v="2"/>
    <x v="38"/>
    <x v="0"/>
    <x v="1"/>
    <s v="Global Fabric Manager's Chair, Dark Gray"/>
    <n v="212.05799999999999"/>
    <n v="3"/>
    <n v="0.3"/>
    <x v="39"/>
  </r>
  <r>
    <n v="41"/>
    <s v="CA-2015-117415"/>
    <d v="2015-12-27T00:00:00"/>
    <x v="16"/>
    <s v="Standard Class"/>
    <x v="17"/>
    <x v="17"/>
    <x v="2"/>
    <s v="United States"/>
    <s v="Houston"/>
    <s v="Texas"/>
    <n v="77041"/>
    <x v="2"/>
    <x v="39"/>
    <x v="2"/>
    <x v="7"/>
    <s v="Plantronics HL10 Handset Lifter"/>
    <n v="371.16800000000001"/>
    <n v="4"/>
    <n v="0.2"/>
    <x v="40"/>
  </r>
  <r>
    <n v="42"/>
    <s v="CA-2017-120999"/>
    <d v="2017-09-10T00:00:00"/>
    <x v="17"/>
    <s v="Standard Class"/>
    <x v="18"/>
    <x v="18"/>
    <x v="1"/>
    <s v="United States"/>
    <s v="Naperville"/>
    <s v="Illinois"/>
    <n v="60540"/>
    <x v="2"/>
    <x v="40"/>
    <x v="2"/>
    <x v="7"/>
    <s v="Panasonic Kx-TS550"/>
    <n v="147.16800000000001"/>
    <n v="4"/>
    <n v="0.2"/>
    <x v="41"/>
  </r>
  <r>
    <n v="43"/>
    <s v="CA-2016-101343"/>
    <d v="2016-07-17T00:00:00"/>
    <x v="18"/>
    <s v="Standard Class"/>
    <x v="19"/>
    <x v="19"/>
    <x v="1"/>
    <s v="United States"/>
    <s v="Los Angeles"/>
    <s v="California"/>
    <n v="90049"/>
    <x v="1"/>
    <x v="41"/>
    <x v="1"/>
    <x v="4"/>
    <s v="Eldon Base for stackable storage shelf, platinum"/>
    <n v="77.88"/>
    <n v="2"/>
    <n v="0"/>
    <x v="42"/>
  </r>
  <r>
    <n v="44"/>
    <s v="CA-2017-139619"/>
    <d v="2017-09-19T00:00:00"/>
    <x v="19"/>
    <s v="Standard Class"/>
    <x v="20"/>
    <x v="20"/>
    <x v="1"/>
    <s v="United States"/>
    <s v="Melbourne"/>
    <s v="Florida"/>
    <n v="32935"/>
    <x v="0"/>
    <x v="42"/>
    <x v="1"/>
    <x v="4"/>
    <s v="Advantus 10-Drawer Portable Organizer, Chrome Metal Frame, Smoke Drawers"/>
    <n v="95.616"/>
    <n v="2"/>
    <n v="0.2"/>
    <x v="43"/>
  </r>
  <r>
    <n v="45"/>
    <s v="CA-2016-118255"/>
    <d v="2016-03-11T00:00:00"/>
    <x v="20"/>
    <s v="First Class"/>
    <x v="21"/>
    <x v="21"/>
    <x v="1"/>
    <s v="United States"/>
    <s v="Eagan"/>
    <s v="Minnesota"/>
    <n v="55122"/>
    <x v="2"/>
    <x v="43"/>
    <x v="2"/>
    <x v="11"/>
    <s v="Verbatim 25 GB 6x Blu-ray Single Layer Recordable Disc, 25/Pack"/>
    <n v="45.98"/>
    <n v="2"/>
    <n v="0"/>
    <x v="44"/>
  </r>
  <r>
    <n v="46"/>
    <s v="CA-2016-118255"/>
    <d v="2016-03-11T00:00:00"/>
    <x v="20"/>
    <s v="First Class"/>
    <x v="21"/>
    <x v="21"/>
    <x v="1"/>
    <s v="United States"/>
    <s v="Eagan"/>
    <s v="Minnesota"/>
    <n v="55122"/>
    <x v="2"/>
    <x v="44"/>
    <x v="1"/>
    <x v="8"/>
    <s v="Wilson Jones Leather-Like Binders with DublLock Round Rings"/>
    <n v="17.46"/>
    <n v="2"/>
    <n v="0"/>
    <x v="45"/>
  </r>
  <r>
    <n v="47"/>
    <s v="CA-2014-146703"/>
    <d v="2014-10-20T00:00:00"/>
    <x v="21"/>
    <s v="Second Class"/>
    <x v="22"/>
    <x v="22"/>
    <x v="0"/>
    <s v="United States"/>
    <s v="Westland"/>
    <s v="Michigan"/>
    <n v="48185"/>
    <x v="2"/>
    <x v="45"/>
    <x v="1"/>
    <x v="4"/>
    <s v="Gould Plastics 9-Pocket Panel Bin, 18-3/8w x 5-1/4d x 20-1/2h, Black"/>
    <n v="211.96"/>
    <n v="4"/>
    <n v="0"/>
    <x v="46"/>
  </r>
  <r>
    <n v="48"/>
    <s v="CA-2016-169194"/>
    <d v="2016-06-20T00:00:00"/>
    <x v="22"/>
    <s v="Standard Class"/>
    <x v="23"/>
    <x v="23"/>
    <x v="0"/>
    <s v="United States"/>
    <s v="Dover"/>
    <s v="Delaware"/>
    <n v="19901"/>
    <x v="3"/>
    <x v="46"/>
    <x v="2"/>
    <x v="11"/>
    <s v="Imation 8gb Micro Traveldrive Usb 2.0 Flash Drive"/>
    <n v="45"/>
    <n v="3"/>
    <n v="0"/>
    <x v="47"/>
  </r>
  <r>
    <n v="49"/>
    <s v="CA-2016-169194"/>
    <d v="2016-06-20T00:00:00"/>
    <x v="22"/>
    <s v="Standard Class"/>
    <x v="23"/>
    <x v="23"/>
    <x v="0"/>
    <s v="United States"/>
    <s v="Dover"/>
    <s v="Delaware"/>
    <n v="19901"/>
    <x v="3"/>
    <x v="47"/>
    <x v="2"/>
    <x v="7"/>
    <s v="LF Elite 3D Dazzle Designer Hard Case Cover, Lf Stylus Pen and Wiper For Apple Iphone 5c Mini Lite"/>
    <n v="21.8"/>
    <n v="2"/>
    <n v="0"/>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location ref="A3:I20" firstHeaderRow="1" firstDataRow="3" firstDataCol="3" rowPageCount="1" colPageCount="1"/>
  <pivotFields count="22">
    <pivotField compact="0" outline="0" showAll="0"/>
    <pivotField compact="0" outline="0" showAll="0"/>
    <pivotField compact="0" numFmtId="14" outline="0" showAll="0"/>
    <pivotField compact="0" numFmtId="14" outline="0" showAll="0">
      <items count="24">
        <item x="8"/>
        <item x="3"/>
        <item x="9"/>
        <item x="21"/>
        <item x="7"/>
        <item x="14"/>
        <item x="12"/>
        <item x="2"/>
        <item x="6"/>
        <item x="16"/>
        <item x="13"/>
        <item x="20"/>
        <item x="1"/>
        <item x="22"/>
        <item x="18"/>
        <item x="0"/>
        <item x="5"/>
        <item x="10"/>
        <item x="4"/>
        <item x="11"/>
        <item x="17"/>
        <item x="19"/>
        <item x="15"/>
        <item t="default"/>
      </items>
    </pivotField>
    <pivotField compact="0" outline="0" showAll="0"/>
    <pivotField axis="axisRow" compact="0" outline="0" showAll="0">
      <items count="25">
        <item x="4"/>
        <item x="8"/>
        <item x="3"/>
        <item x="0"/>
        <item x="1"/>
        <item x="12"/>
        <item x="13"/>
        <item x="20"/>
        <item x="16"/>
        <item x="6"/>
        <item x="5"/>
        <item x="10"/>
        <item x="18"/>
        <item x="23"/>
        <item x="15"/>
        <item x="21"/>
        <item x="7"/>
        <item x="22"/>
        <item x="19"/>
        <item x="11"/>
        <item x="17"/>
        <item x="2"/>
        <item x="14"/>
        <item x="9"/>
        <item t="default"/>
      </items>
    </pivotField>
    <pivotField axis="axisRow" compact="0" outline="0" showAll="0">
      <items count="25">
        <item x="8"/>
        <item x="4"/>
        <item x="3"/>
        <item x="0"/>
        <item x="1"/>
        <item x="12"/>
        <item x="13"/>
        <item x="20"/>
        <item x="16"/>
        <item x="6"/>
        <item x="5"/>
        <item x="10"/>
        <item x="23"/>
        <item x="18"/>
        <item x="15"/>
        <item x="21"/>
        <item x="22"/>
        <item x="7"/>
        <item x="19"/>
        <item x="11"/>
        <item x="2"/>
        <item x="17"/>
        <item x="14"/>
        <item x="9"/>
        <item t="default"/>
      </items>
    </pivotField>
    <pivotField axis="axisPage" compact="0" outline="0" multipleItemSelectionAllowed="1"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h="1" x="2"/>
        <item h="1" x="3"/>
        <item x="0"/>
        <item h="1" x="1"/>
        <item t="default"/>
      </items>
    </pivotField>
    <pivotField compact="0" outline="0" showAll="0">
      <items count="49">
        <item x="0"/>
        <item x="37"/>
        <item x="26"/>
        <item x="1"/>
        <item x="23"/>
        <item x="38"/>
        <item x="5"/>
        <item x="35"/>
        <item x="28"/>
        <item x="3"/>
        <item x="10"/>
        <item x="22"/>
        <item x="14"/>
        <item x="9"/>
        <item x="21"/>
        <item x="32"/>
        <item x="6"/>
        <item x="18"/>
        <item x="30"/>
        <item x="27"/>
        <item x="15"/>
        <item x="31"/>
        <item x="24"/>
        <item x="20"/>
        <item x="44"/>
        <item x="13"/>
        <item x="8"/>
        <item x="29"/>
        <item x="36"/>
        <item x="2"/>
        <item x="33"/>
        <item x="12"/>
        <item x="17"/>
        <item x="4"/>
        <item x="45"/>
        <item x="42"/>
        <item x="41"/>
        <item x="16"/>
        <item x="43"/>
        <item x="46"/>
        <item x="25"/>
        <item x="39"/>
        <item x="19"/>
        <item x="11"/>
        <item x="7"/>
        <item x="47"/>
        <item x="40"/>
        <item x="34"/>
        <item t="default"/>
      </items>
    </pivotField>
    <pivotField axis="axisCol" compact="0" outline="0" showAll="0">
      <items count="4">
        <item x="0"/>
        <item x="1"/>
        <item x="2"/>
        <item t="default"/>
      </items>
    </pivotField>
    <pivotField axis="axisRow" compact="0" outline="0" showAll="0">
      <items count="14">
        <item x="11"/>
        <item x="9"/>
        <item x="6"/>
        <item x="8"/>
        <item x="0"/>
        <item x="1"/>
        <item x="12"/>
        <item x="5"/>
        <item x="2"/>
        <item x="10"/>
        <item x="7"/>
        <item x="4"/>
        <item x="3"/>
        <item t="default"/>
      </items>
    </pivotField>
    <pivotField compact="0" outline="0" showAll="0"/>
    <pivotField dataField="1" compact="0" outline="0" showAll="0"/>
    <pivotField compact="0" outline="0" showAll="0"/>
    <pivotField compact="0" outline="0" showAll="0"/>
    <pivotField dataField="1" compact="0" outline="0" showAll="0">
      <items count="50">
        <item x="27"/>
        <item x="3"/>
        <item x="36"/>
        <item x="14"/>
        <item x="38"/>
        <item x="39"/>
        <item x="28"/>
        <item x="32"/>
        <item x="15"/>
        <item x="23"/>
        <item x="30"/>
        <item x="6"/>
        <item x="18"/>
        <item x="4"/>
        <item x="33"/>
        <item x="42"/>
        <item x="25"/>
        <item x="47"/>
        <item x="21"/>
        <item x="12"/>
        <item x="8"/>
        <item x="48"/>
        <item x="2"/>
        <item x="20"/>
        <item x="45"/>
        <item x="46"/>
        <item x="43"/>
        <item x="31"/>
        <item x="34"/>
        <item x="17"/>
        <item x="26"/>
        <item x="16"/>
        <item x="5"/>
        <item x="29"/>
        <item x="22"/>
        <item x="19"/>
        <item x="41"/>
        <item x="44"/>
        <item x="9"/>
        <item x="37"/>
        <item x="40"/>
        <item x="0"/>
        <item x="11"/>
        <item x="10"/>
        <item x="7"/>
        <item x="35"/>
        <item x="13"/>
        <item x="1"/>
        <item x="24"/>
        <item t="default"/>
      </items>
    </pivotField>
    <pivotField compact="0" outline="0" dragToRow="0" dragToCol="0" dragToPage="0" showAll="0" defaultSubtotal="0"/>
  </pivotFields>
  <rowFields count="3">
    <field x="6"/>
    <field x="5"/>
    <field x="15"/>
  </rowFields>
  <rowItems count="15">
    <i>
      <x v="1"/>
      <x/>
      <x v="9"/>
    </i>
    <i t="default" r="1">
      <x/>
    </i>
    <i t="default">
      <x v="1"/>
    </i>
    <i>
      <x v="3"/>
      <x v="3"/>
      <x v="4"/>
    </i>
    <i r="2">
      <x v="5"/>
    </i>
    <i t="default" r="1">
      <x v="3"/>
    </i>
    <i t="default">
      <x v="3"/>
    </i>
    <i>
      <x v="7"/>
      <x v="7"/>
      <x v="11"/>
    </i>
    <i t="default" r="1">
      <x v="7"/>
    </i>
    <i t="default">
      <x v="7"/>
    </i>
    <i>
      <x v="20"/>
      <x v="21"/>
      <x v="11"/>
    </i>
    <i r="2">
      <x v="12"/>
    </i>
    <i t="default" r="1">
      <x v="21"/>
    </i>
    <i t="default">
      <x v="20"/>
    </i>
    <i t="grand">
      <x/>
    </i>
  </rowItems>
  <colFields count="2">
    <field x="14"/>
    <field x="-2"/>
  </colFields>
  <colItems count="6">
    <i>
      <x/>
      <x/>
    </i>
    <i r="1" i="1">
      <x v="1"/>
    </i>
    <i>
      <x v="1"/>
      <x/>
    </i>
    <i r="1" i="1">
      <x v="1"/>
    </i>
    <i t="grand">
      <x/>
    </i>
    <i t="grand" i="1">
      <x/>
    </i>
  </colItems>
  <pageFields count="1">
    <pageField fld="7" hier="-1"/>
  </pageFields>
  <dataFields count="2">
    <dataField name="Sum of Sales" fld="17" baseField="0" baseItem="0"/>
    <dataField name="Sum of Profit" fld="20"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443432978">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hip_Date" sourceName="Ship Date">
  <pivotTables>
    <pivotTable tabId="5" name="PivotTable1"/>
  </pivotTables>
  <state minimalRefreshVersion="6" lastRefreshVersion="6" pivotCacheId="144343297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hip Date" cache="NativeTimeline_Ship_Date" caption="Ship Date" level="2" selectionLevel="2" scrollPosition="2017-06-06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hyperlink" Target="OVERALL%20ANALYSI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zoomScale="90" zoomScaleNormal="90" workbookViewId="0">
      <selection activeCell="E10" sqref="E9:E10"/>
    </sheetView>
  </sheetViews>
  <sheetFormatPr defaultRowHeight="14.5" x14ac:dyDescent="0.35"/>
  <cols>
    <col min="1" max="1" width="22.7265625" bestFit="1" customWidth="1"/>
    <col min="2" max="3" width="15.26953125" bestFit="1" customWidth="1"/>
    <col min="4" max="7" width="14.54296875" bestFit="1" customWidth="1"/>
    <col min="8" max="8" width="17.26953125" bestFit="1" customWidth="1"/>
    <col min="9" max="9" width="17.7265625" bestFit="1" customWidth="1"/>
    <col min="10" max="10" width="17.26953125" bestFit="1" customWidth="1"/>
    <col min="11" max="11" width="17.7265625" bestFit="1" customWidth="1"/>
    <col min="12" max="16" width="16.453125" bestFit="1" customWidth="1"/>
    <col min="17" max="17" width="19.54296875" bestFit="1" customWidth="1"/>
    <col min="18" max="21" width="13" bestFit="1" customWidth="1"/>
    <col min="22" max="22" width="16.1796875" bestFit="1" customWidth="1"/>
    <col min="23" max="23" width="11.26953125" bestFit="1" customWidth="1"/>
    <col min="24" max="28" width="16.26953125" bestFit="1" customWidth="1"/>
    <col min="29" max="30" width="17.1796875" bestFit="1" customWidth="1"/>
    <col min="31" max="31" width="17" bestFit="1" customWidth="1"/>
    <col min="32" max="33" width="17.1796875" bestFit="1" customWidth="1"/>
    <col min="34" max="39" width="16.7265625" bestFit="1" customWidth="1"/>
    <col min="40" max="49" width="16.81640625" bestFit="1" customWidth="1"/>
    <col min="50" max="50" width="11.26953125" bestFit="1" customWidth="1"/>
  </cols>
  <sheetData>
    <row r="1" spans="1:9" x14ac:dyDescent="0.35">
      <c r="A1" s="8" t="s">
        <v>7</v>
      </c>
      <c r="B1" t="s">
        <v>251</v>
      </c>
    </row>
    <row r="3" spans="1:9" x14ac:dyDescent="0.35">
      <c r="D3" s="8" t="s">
        <v>14</v>
      </c>
      <c r="E3" s="8" t="s">
        <v>261</v>
      </c>
    </row>
    <row r="4" spans="1:9" x14ac:dyDescent="0.35">
      <c r="D4" t="s">
        <v>31</v>
      </c>
      <c r="F4" t="s">
        <v>45</v>
      </c>
      <c r="H4" t="s">
        <v>262</v>
      </c>
      <c r="I4" t="s">
        <v>263</v>
      </c>
    </row>
    <row r="5" spans="1:9" x14ac:dyDescent="0.35">
      <c r="A5" s="8" t="s">
        <v>6</v>
      </c>
      <c r="B5" s="8" t="s">
        <v>5</v>
      </c>
      <c r="C5" s="8" t="s">
        <v>15</v>
      </c>
      <c r="D5" t="s">
        <v>250</v>
      </c>
      <c r="E5" t="s">
        <v>260</v>
      </c>
      <c r="F5" t="s">
        <v>250</v>
      </c>
      <c r="G5" t="s">
        <v>260</v>
      </c>
    </row>
    <row r="6" spans="1:9" x14ac:dyDescent="0.35">
      <c r="A6" t="s">
        <v>85</v>
      </c>
      <c r="B6" t="s">
        <v>84</v>
      </c>
      <c r="C6" t="s">
        <v>89</v>
      </c>
      <c r="D6" s="1"/>
      <c r="E6" s="1"/>
      <c r="F6" s="1">
        <v>15.552000000000003</v>
      </c>
      <c r="G6" s="1">
        <v>5.4432</v>
      </c>
      <c r="H6" s="1">
        <v>15.552000000000003</v>
      </c>
      <c r="I6" s="1">
        <v>5.4432</v>
      </c>
    </row>
    <row r="7" spans="1:9" x14ac:dyDescent="0.35">
      <c r="B7" t="s">
        <v>254</v>
      </c>
      <c r="D7" s="1"/>
      <c r="E7" s="1"/>
      <c r="F7" s="1">
        <v>15.552000000000003</v>
      </c>
      <c r="G7" s="1">
        <v>5.4432</v>
      </c>
      <c r="H7" s="1">
        <v>15.552000000000003</v>
      </c>
      <c r="I7" s="1">
        <v>5.4432</v>
      </c>
    </row>
    <row r="8" spans="1:9" x14ac:dyDescent="0.35">
      <c r="A8" t="s">
        <v>255</v>
      </c>
      <c r="D8" s="1"/>
      <c r="E8" s="1"/>
      <c r="F8" s="1">
        <v>15.552000000000003</v>
      </c>
      <c r="G8" s="1">
        <v>5.4432</v>
      </c>
      <c r="H8" s="1">
        <v>15.552000000000003</v>
      </c>
      <c r="I8" s="1">
        <v>5.4432</v>
      </c>
    </row>
    <row r="9" spans="1:9" x14ac:dyDescent="0.35">
      <c r="A9" t="s">
        <v>24</v>
      </c>
      <c r="B9" t="s">
        <v>23</v>
      </c>
      <c r="C9" t="s">
        <v>32</v>
      </c>
      <c r="D9" s="1">
        <v>261.95999999999998</v>
      </c>
      <c r="E9" s="1">
        <v>41.913600000000002</v>
      </c>
      <c r="F9" s="1"/>
      <c r="G9" s="1"/>
      <c r="H9" s="1">
        <v>261.95999999999998</v>
      </c>
      <c r="I9" s="1">
        <v>41.913600000000002</v>
      </c>
    </row>
    <row r="10" spans="1:9" x14ac:dyDescent="0.35">
      <c r="C10" t="s">
        <v>35</v>
      </c>
      <c r="D10" s="1">
        <v>731.93999999999994</v>
      </c>
      <c r="E10" s="1">
        <v>219.58199999999997</v>
      </c>
      <c r="F10" s="1"/>
      <c r="G10" s="1"/>
      <c r="H10" s="1">
        <v>731.93999999999994</v>
      </c>
      <c r="I10" s="1">
        <v>219.58199999999997</v>
      </c>
    </row>
    <row r="11" spans="1:9" x14ac:dyDescent="0.35">
      <c r="B11" t="s">
        <v>256</v>
      </c>
      <c r="D11" s="1">
        <v>993.89999999999986</v>
      </c>
      <c r="E11" s="1">
        <v>261.49559999999997</v>
      </c>
      <c r="F11" s="1"/>
      <c r="G11" s="1"/>
      <c r="H11" s="1">
        <v>993.89999999999986</v>
      </c>
      <c r="I11" s="1">
        <v>261.49559999999997</v>
      </c>
    </row>
    <row r="12" spans="1:9" x14ac:dyDescent="0.35">
      <c r="A12" t="s">
        <v>257</v>
      </c>
      <c r="D12" s="1">
        <v>993.89999999999986</v>
      </c>
      <c r="E12" s="1">
        <v>261.49559999999997</v>
      </c>
      <c r="F12" s="1"/>
      <c r="G12" s="1"/>
      <c r="H12" s="1">
        <v>993.89999999999986</v>
      </c>
      <c r="I12" s="1">
        <v>261.49559999999997</v>
      </c>
    </row>
    <row r="13" spans="1:9" x14ac:dyDescent="0.35">
      <c r="A13" t="s">
        <v>220</v>
      </c>
      <c r="B13" t="s">
        <v>219</v>
      </c>
      <c r="C13" t="s">
        <v>58</v>
      </c>
      <c r="D13" s="1"/>
      <c r="E13" s="1"/>
      <c r="F13" s="1">
        <v>95.616</v>
      </c>
      <c r="G13" s="1">
        <v>9.5616000000000092</v>
      </c>
      <c r="H13" s="1">
        <v>95.616</v>
      </c>
      <c r="I13" s="1">
        <v>9.5616000000000092</v>
      </c>
    </row>
    <row r="14" spans="1:9" x14ac:dyDescent="0.35">
      <c r="B14" t="s">
        <v>252</v>
      </c>
      <c r="D14" s="1"/>
      <c r="E14" s="1"/>
      <c r="F14" s="1">
        <v>95.616</v>
      </c>
      <c r="G14" s="1">
        <v>9.5616000000000092</v>
      </c>
      <c r="H14" s="1">
        <v>95.616</v>
      </c>
      <c r="I14" s="1">
        <v>9.5616000000000092</v>
      </c>
    </row>
    <row r="15" spans="1:9" x14ac:dyDescent="0.35">
      <c r="A15" t="s">
        <v>253</v>
      </c>
      <c r="D15" s="1"/>
      <c r="E15" s="1"/>
      <c r="F15" s="1">
        <v>95.616</v>
      </c>
      <c r="G15" s="1">
        <v>9.5616000000000092</v>
      </c>
      <c r="H15" s="1">
        <v>95.616</v>
      </c>
      <c r="I15" s="1">
        <v>9.5616000000000092</v>
      </c>
    </row>
    <row r="16" spans="1:9" x14ac:dyDescent="0.35">
      <c r="A16" t="s">
        <v>51</v>
      </c>
      <c r="B16" t="s">
        <v>50</v>
      </c>
      <c r="C16" t="s">
        <v>58</v>
      </c>
      <c r="D16" s="1"/>
      <c r="E16" s="1"/>
      <c r="F16" s="1">
        <v>22.368000000000002</v>
      </c>
      <c r="G16" s="1">
        <v>2.5163999999999991</v>
      </c>
      <c r="H16" s="1">
        <v>22.368000000000002</v>
      </c>
      <c r="I16" s="1">
        <v>2.5163999999999991</v>
      </c>
    </row>
    <row r="17" spans="1:9" x14ac:dyDescent="0.35">
      <c r="C17" t="s">
        <v>55</v>
      </c>
      <c r="D17" s="1">
        <v>957.57749999999999</v>
      </c>
      <c r="E17" s="1">
        <v>-383.03100000000006</v>
      </c>
      <c r="F17" s="1"/>
      <c r="G17" s="1"/>
      <c r="H17" s="1">
        <v>957.57749999999999</v>
      </c>
      <c r="I17" s="1">
        <v>-383.03100000000006</v>
      </c>
    </row>
    <row r="18" spans="1:9" x14ac:dyDescent="0.35">
      <c r="B18" t="s">
        <v>258</v>
      </c>
      <c r="D18" s="1">
        <v>957.57749999999999</v>
      </c>
      <c r="E18" s="1">
        <v>-383.03100000000006</v>
      </c>
      <c r="F18" s="1">
        <v>22.368000000000002</v>
      </c>
      <c r="G18" s="1">
        <v>2.5163999999999991</v>
      </c>
      <c r="H18" s="1">
        <v>979.94550000000004</v>
      </c>
      <c r="I18" s="1">
        <v>-380.51460000000009</v>
      </c>
    </row>
    <row r="19" spans="1:9" x14ac:dyDescent="0.35">
      <c r="A19" t="s">
        <v>259</v>
      </c>
      <c r="D19" s="1">
        <v>957.57749999999999</v>
      </c>
      <c r="E19" s="1">
        <v>-383.03100000000006</v>
      </c>
      <c r="F19" s="1">
        <v>22.368000000000002</v>
      </c>
      <c r="G19" s="1">
        <v>2.5163999999999991</v>
      </c>
      <c r="H19" s="1">
        <v>979.94550000000004</v>
      </c>
      <c r="I19" s="1">
        <v>-380.51460000000009</v>
      </c>
    </row>
    <row r="20" spans="1:9" x14ac:dyDescent="0.35">
      <c r="A20" t="s">
        <v>249</v>
      </c>
      <c r="D20" s="1">
        <v>1951.4775</v>
      </c>
      <c r="E20" s="1">
        <v>-121.5354000000001</v>
      </c>
      <c r="F20" s="1">
        <v>133.536</v>
      </c>
      <c r="G20" s="1">
        <v>17.521200000000007</v>
      </c>
      <c r="H20" s="1">
        <v>2085.0135</v>
      </c>
      <c r="I20" s="1">
        <v>-104.01420000000013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tabSelected="1" topLeftCell="L1" workbookViewId="0">
      <selection activeCell="R1" sqref="R1"/>
    </sheetView>
  </sheetViews>
  <sheetFormatPr defaultRowHeight="14.5" x14ac:dyDescent="0.35"/>
  <cols>
    <col min="3" max="3" width="11.81640625" bestFit="1" customWidth="1"/>
    <col min="4" max="4" width="12.7265625" bestFit="1" customWidth="1"/>
    <col min="5" max="5" width="13.81640625" bestFit="1" customWidth="1"/>
    <col min="6" max="6" width="12.81640625" bestFit="1" customWidth="1"/>
    <col min="7" max="7" width="17.7265625" bestFit="1" customWidth="1"/>
    <col min="8" max="8" width="12.1796875" bestFit="1" customWidth="1"/>
    <col min="9" max="9" width="12.81640625" bestFit="1" customWidth="1"/>
    <col min="10" max="10" width="15" bestFit="1" customWidth="1"/>
    <col min="11" max="11" width="14" bestFit="1" customWidth="1"/>
    <col min="14" max="14" width="16.54296875" bestFit="1" customWidth="1"/>
    <col min="15" max="15" width="14.54296875" bestFit="1" customWidth="1"/>
    <col min="16" max="16" width="14.26953125" bestFit="1" customWidth="1"/>
    <col min="17" max="17" width="70.1796875" customWidth="1"/>
  </cols>
  <sheetData>
    <row r="1" spans="1:21" ht="15.5" x14ac:dyDescent="0.3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35">
      <c r="A2" s="5">
        <v>1</v>
      </c>
      <c r="B2" s="6" t="s">
        <v>21</v>
      </c>
      <c r="C2" s="7">
        <v>42682</v>
      </c>
      <c r="D2" s="7">
        <v>42685</v>
      </c>
      <c r="E2" s="6" t="s">
        <v>22</v>
      </c>
      <c r="F2" s="6" t="s">
        <v>23</v>
      </c>
      <c r="G2" s="6" t="s">
        <v>24</v>
      </c>
      <c r="H2" s="6" t="s">
        <v>25</v>
      </c>
      <c r="I2" s="6" t="s">
        <v>26</v>
      </c>
      <c r="J2" s="6" t="s">
        <v>27</v>
      </c>
      <c r="K2" s="6" t="s">
        <v>28</v>
      </c>
      <c r="L2" s="6">
        <v>42420</v>
      </c>
      <c r="M2" s="6" t="s">
        <v>29</v>
      </c>
      <c r="N2" s="6" t="s">
        <v>30</v>
      </c>
      <c r="O2" s="6" t="s">
        <v>31</v>
      </c>
      <c r="P2" s="6" t="s">
        <v>32</v>
      </c>
      <c r="Q2" s="6" t="s">
        <v>33</v>
      </c>
      <c r="R2" s="6">
        <v>261.95999999999998</v>
      </c>
      <c r="S2" s="6">
        <v>2</v>
      </c>
      <c r="T2" s="6">
        <v>0</v>
      </c>
      <c r="U2" s="6">
        <v>41.913600000000002</v>
      </c>
    </row>
    <row r="3" spans="1:21" x14ac:dyDescent="0.35">
      <c r="A3" s="5">
        <v>2</v>
      </c>
      <c r="B3" s="6" t="s">
        <v>21</v>
      </c>
      <c r="C3" s="7">
        <v>42682</v>
      </c>
      <c r="D3" s="7">
        <v>42685</v>
      </c>
      <c r="E3" s="6" t="s">
        <v>22</v>
      </c>
      <c r="F3" s="6" t="s">
        <v>23</v>
      </c>
      <c r="G3" s="6" t="s">
        <v>24</v>
      </c>
      <c r="H3" s="6" t="s">
        <v>25</v>
      </c>
      <c r="I3" s="6" t="s">
        <v>26</v>
      </c>
      <c r="J3" s="6" t="s">
        <v>27</v>
      </c>
      <c r="K3" s="6" t="s">
        <v>28</v>
      </c>
      <c r="L3" s="6">
        <v>42420</v>
      </c>
      <c r="M3" s="6" t="s">
        <v>29</v>
      </c>
      <c r="N3" s="6" t="s">
        <v>34</v>
      </c>
      <c r="O3" s="6" t="s">
        <v>31</v>
      </c>
      <c r="P3" s="6" t="s">
        <v>35</v>
      </c>
      <c r="Q3" s="6" t="s">
        <v>36</v>
      </c>
      <c r="R3" s="6">
        <v>731.93999999999994</v>
      </c>
      <c r="S3" s="6">
        <v>3</v>
      </c>
      <c r="T3" s="6">
        <v>0</v>
      </c>
      <c r="U3" s="6">
        <v>219.58199999999997</v>
      </c>
    </row>
    <row r="4" spans="1:21" x14ac:dyDescent="0.35">
      <c r="A4" s="5">
        <v>3</v>
      </c>
      <c r="B4" s="6" t="s">
        <v>37</v>
      </c>
      <c r="C4" s="7">
        <v>42533</v>
      </c>
      <c r="D4" s="7">
        <v>42537</v>
      </c>
      <c r="E4" s="6" t="s">
        <v>22</v>
      </c>
      <c r="F4" s="6" t="s">
        <v>38</v>
      </c>
      <c r="G4" s="6" t="s">
        <v>39</v>
      </c>
      <c r="H4" s="6" t="s">
        <v>40</v>
      </c>
      <c r="I4" s="6" t="s">
        <v>26</v>
      </c>
      <c r="J4" s="6" t="s">
        <v>41</v>
      </c>
      <c r="K4" s="6" t="s">
        <v>42</v>
      </c>
      <c r="L4" s="6">
        <v>90036</v>
      </c>
      <c r="M4" s="6" t="s">
        <v>43</v>
      </c>
      <c r="N4" s="6" t="s">
        <v>44</v>
      </c>
      <c r="O4" s="6" t="s">
        <v>45</v>
      </c>
      <c r="P4" s="6" t="s">
        <v>46</v>
      </c>
      <c r="Q4" s="6" t="s">
        <v>47</v>
      </c>
      <c r="R4" s="6">
        <v>14.62</v>
      </c>
      <c r="S4" s="6">
        <v>2</v>
      </c>
      <c r="T4" s="6">
        <v>0</v>
      </c>
      <c r="U4" s="6">
        <v>6.8713999999999995</v>
      </c>
    </row>
    <row r="5" spans="1:21" x14ac:dyDescent="0.35">
      <c r="A5" s="5">
        <v>4</v>
      </c>
      <c r="B5" s="6" t="s">
        <v>48</v>
      </c>
      <c r="C5" s="7">
        <v>42288</v>
      </c>
      <c r="D5" s="7">
        <v>42295</v>
      </c>
      <c r="E5" s="6" t="s">
        <v>49</v>
      </c>
      <c r="F5" s="6" t="s">
        <v>50</v>
      </c>
      <c r="G5" s="6" t="s">
        <v>51</v>
      </c>
      <c r="H5" s="6" t="s">
        <v>25</v>
      </c>
      <c r="I5" s="6" t="s">
        <v>26</v>
      </c>
      <c r="J5" s="6" t="s">
        <v>52</v>
      </c>
      <c r="K5" s="6" t="s">
        <v>53</v>
      </c>
      <c r="L5" s="6">
        <v>33311</v>
      </c>
      <c r="M5" s="6" t="s">
        <v>29</v>
      </c>
      <c r="N5" s="6" t="s">
        <v>54</v>
      </c>
      <c r="O5" s="6" t="s">
        <v>31</v>
      </c>
      <c r="P5" s="6" t="s">
        <v>55</v>
      </c>
      <c r="Q5" s="6" t="s">
        <v>56</v>
      </c>
      <c r="R5" s="6">
        <v>957.57749999999999</v>
      </c>
      <c r="S5" s="6">
        <v>5</v>
      </c>
      <c r="T5" s="6">
        <v>0.45</v>
      </c>
      <c r="U5" s="6">
        <v>-383.03100000000006</v>
      </c>
    </row>
    <row r="6" spans="1:21" x14ac:dyDescent="0.35">
      <c r="A6" s="5">
        <v>5</v>
      </c>
      <c r="B6" s="6" t="s">
        <v>48</v>
      </c>
      <c r="C6" s="7">
        <v>42288</v>
      </c>
      <c r="D6" s="7">
        <v>42295</v>
      </c>
      <c r="E6" s="6" t="s">
        <v>49</v>
      </c>
      <c r="F6" s="6" t="s">
        <v>50</v>
      </c>
      <c r="G6" s="6" t="s">
        <v>51</v>
      </c>
      <c r="H6" s="6" t="s">
        <v>25</v>
      </c>
      <c r="I6" s="6" t="s">
        <v>26</v>
      </c>
      <c r="J6" s="6" t="s">
        <v>52</v>
      </c>
      <c r="K6" s="6" t="s">
        <v>53</v>
      </c>
      <c r="L6" s="6">
        <v>33311</v>
      </c>
      <c r="M6" s="6" t="s">
        <v>29</v>
      </c>
      <c r="N6" s="6" t="s">
        <v>57</v>
      </c>
      <c r="O6" s="6" t="s">
        <v>45</v>
      </c>
      <c r="P6" s="6" t="s">
        <v>58</v>
      </c>
      <c r="Q6" s="6" t="s">
        <v>59</v>
      </c>
      <c r="R6" s="6">
        <v>22.368000000000002</v>
      </c>
      <c r="S6" s="6">
        <v>2</v>
      </c>
      <c r="T6" s="6">
        <v>0.2</v>
      </c>
      <c r="U6" s="6">
        <v>2.5163999999999991</v>
      </c>
    </row>
    <row r="7" spans="1:21" x14ac:dyDescent="0.35">
      <c r="A7" s="5">
        <v>6</v>
      </c>
      <c r="B7" s="6" t="s">
        <v>60</v>
      </c>
      <c r="C7" s="7">
        <v>41799</v>
      </c>
      <c r="D7" s="7">
        <v>41804</v>
      </c>
      <c r="E7" s="6" t="s">
        <v>49</v>
      </c>
      <c r="F7" s="6" t="s">
        <v>61</v>
      </c>
      <c r="G7" s="6" t="s">
        <v>62</v>
      </c>
      <c r="H7" s="6" t="s">
        <v>25</v>
      </c>
      <c r="I7" s="6" t="s">
        <v>26</v>
      </c>
      <c r="J7" s="6" t="s">
        <v>41</v>
      </c>
      <c r="K7" s="6" t="s">
        <v>42</v>
      </c>
      <c r="L7" s="6">
        <v>90032</v>
      </c>
      <c r="M7" s="6" t="s">
        <v>43</v>
      </c>
      <c r="N7" s="6" t="s">
        <v>63</v>
      </c>
      <c r="O7" s="6" t="s">
        <v>31</v>
      </c>
      <c r="P7" s="6" t="s">
        <v>64</v>
      </c>
      <c r="Q7" s="6" t="s">
        <v>65</v>
      </c>
      <c r="R7" s="6">
        <v>48.86</v>
      </c>
      <c r="S7" s="6">
        <v>7</v>
      </c>
      <c r="T7" s="6">
        <v>0</v>
      </c>
      <c r="U7" s="6">
        <v>14.169399999999996</v>
      </c>
    </row>
    <row r="8" spans="1:21" x14ac:dyDescent="0.35">
      <c r="A8" s="5">
        <v>7</v>
      </c>
      <c r="B8" s="6" t="s">
        <v>60</v>
      </c>
      <c r="C8" s="7">
        <v>41799</v>
      </c>
      <c r="D8" s="7">
        <v>41804</v>
      </c>
      <c r="E8" s="6" t="s">
        <v>49</v>
      </c>
      <c r="F8" s="6" t="s">
        <v>61</v>
      </c>
      <c r="G8" s="6" t="s">
        <v>62</v>
      </c>
      <c r="H8" s="6" t="s">
        <v>25</v>
      </c>
      <c r="I8" s="6" t="s">
        <v>26</v>
      </c>
      <c r="J8" s="6" t="s">
        <v>41</v>
      </c>
      <c r="K8" s="6" t="s">
        <v>42</v>
      </c>
      <c r="L8" s="6">
        <v>90032</v>
      </c>
      <c r="M8" s="6" t="s">
        <v>43</v>
      </c>
      <c r="N8" s="6" t="s">
        <v>66</v>
      </c>
      <c r="O8" s="6" t="s">
        <v>45</v>
      </c>
      <c r="P8" s="6" t="s">
        <v>67</v>
      </c>
      <c r="Q8" s="6" t="s">
        <v>68</v>
      </c>
      <c r="R8" s="6">
        <v>7.28</v>
      </c>
      <c r="S8" s="6">
        <v>4</v>
      </c>
      <c r="T8" s="6">
        <v>0</v>
      </c>
      <c r="U8" s="6">
        <v>1.9656000000000002</v>
      </c>
    </row>
    <row r="9" spans="1:21" x14ac:dyDescent="0.35">
      <c r="A9" s="5">
        <v>8</v>
      </c>
      <c r="B9" s="6" t="s">
        <v>60</v>
      </c>
      <c r="C9" s="7">
        <v>41799</v>
      </c>
      <c r="D9" s="7">
        <v>41804</v>
      </c>
      <c r="E9" s="6" t="s">
        <v>49</v>
      </c>
      <c r="F9" s="6" t="s">
        <v>61</v>
      </c>
      <c r="G9" s="6" t="s">
        <v>62</v>
      </c>
      <c r="H9" s="6" t="s">
        <v>25</v>
      </c>
      <c r="I9" s="6" t="s">
        <v>26</v>
      </c>
      <c r="J9" s="6" t="s">
        <v>41</v>
      </c>
      <c r="K9" s="6" t="s">
        <v>42</v>
      </c>
      <c r="L9" s="6">
        <v>90032</v>
      </c>
      <c r="M9" s="6" t="s">
        <v>43</v>
      </c>
      <c r="N9" s="6" t="s">
        <v>69</v>
      </c>
      <c r="O9" s="6" t="s">
        <v>70</v>
      </c>
      <c r="P9" s="6" t="s">
        <v>71</v>
      </c>
      <c r="Q9" s="6" t="s">
        <v>72</v>
      </c>
      <c r="R9" s="6">
        <v>907.15200000000004</v>
      </c>
      <c r="S9" s="6">
        <v>6</v>
      </c>
      <c r="T9" s="6">
        <v>0.2</v>
      </c>
      <c r="U9" s="6">
        <v>90.715200000000038</v>
      </c>
    </row>
    <row r="10" spans="1:21" x14ac:dyDescent="0.35">
      <c r="A10" s="5">
        <v>9</v>
      </c>
      <c r="B10" s="6" t="s">
        <v>60</v>
      </c>
      <c r="C10" s="7">
        <v>41799</v>
      </c>
      <c r="D10" s="7">
        <v>41804</v>
      </c>
      <c r="E10" s="6" t="s">
        <v>49</v>
      </c>
      <c r="F10" s="6" t="s">
        <v>61</v>
      </c>
      <c r="G10" s="6" t="s">
        <v>62</v>
      </c>
      <c r="H10" s="6" t="s">
        <v>25</v>
      </c>
      <c r="I10" s="6" t="s">
        <v>26</v>
      </c>
      <c r="J10" s="6" t="s">
        <v>41</v>
      </c>
      <c r="K10" s="6" t="s">
        <v>42</v>
      </c>
      <c r="L10" s="6">
        <v>90032</v>
      </c>
      <c r="M10" s="6" t="s">
        <v>43</v>
      </c>
      <c r="N10" s="6" t="s">
        <v>73</v>
      </c>
      <c r="O10" s="6" t="s">
        <v>45</v>
      </c>
      <c r="P10" s="6" t="s">
        <v>74</v>
      </c>
      <c r="Q10" s="6" t="s">
        <v>75</v>
      </c>
      <c r="R10" s="6">
        <v>18.504000000000001</v>
      </c>
      <c r="S10" s="6">
        <v>3</v>
      </c>
      <c r="T10" s="6">
        <v>0.2</v>
      </c>
      <c r="U10" s="6">
        <v>5.7824999999999998</v>
      </c>
    </row>
    <row r="11" spans="1:21" x14ac:dyDescent="0.35">
      <c r="A11" s="5">
        <v>10</v>
      </c>
      <c r="B11" s="6" t="s">
        <v>60</v>
      </c>
      <c r="C11" s="7">
        <v>41799</v>
      </c>
      <c r="D11" s="7">
        <v>41804</v>
      </c>
      <c r="E11" s="6" t="s">
        <v>49</v>
      </c>
      <c r="F11" s="6" t="s">
        <v>61</v>
      </c>
      <c r="G11" s="6" t="s">
        <v>62</v>
      </c>
      <c r="H11" s="6" t="s">
        <v>25</v>
      </c>
      <c r="I11" s="6" t="s">
        <v>26</v>
      </c>
      <c r="J11" s="6" t="s">
        <v>41</v>
      </c>
      <c r="K11" s="6" t="s">
        <v>42</v>
      </c>
      <c r="L11" s="6">
        <v>90032</v>
      </c>
      <c r="M11" s="6" t="s">
        <v>43</v>
      </c>
      <c r="N11" s="6" t="s">
        <v>76</v>
      </c>
      <c r="O11" s="6" t="s">
        <v>45</v>
      </c>
      <c r="P11" s="6" t="s">
        <v>77</v>
      </c>
      <c r="Q11" s="6" t="s">
        <v>78</v>
      </c>
      <c r="R11" s="6">
        <v>114.9</v>
      </c>
      <c r="S11" s="6">
        <v>5</v>
      </c>
      <c r="T11" s="6">
        <v>0</v>
      </c>
      <c r="U11" s="6">
        <v>34.469999999999992</v>
      </c>
    </row>
    <row r="12" spans="1:21" x14ac:dyDescent="0.35">
      <c r="A12" s="5">
        <v>11</v>
      </c>
      <c r="B12" s="6" t="s">
        <v>60</v>
      </c>
      <c r="C12" s="7">
        <v>41799</v>
      </c>
      <c r="D12" s="7">
        <v>41804</v>
      </c>
      <c r="E12" s="6" t="s">
        <v>49</v>
      </c>
      <c r="F12" s="6" t="s">
        <v>61</v>
      </c>
      <c r="G12" s="6" t="s">
        <v>62</v>
      </c>
      <c r="H12" s="6" t="s">
        <v>25</v>
      </c>
      <c r="I12" s="6" t="s">
        <v>26</v>
      </c>
      <c r="J12" s="6" t="s">
        <v>41</v>
      </c>
      <c r="K12" s="6" t="s">
        <v>42</v>
      </c>
      <c r="L12" s="6">
        <v>90032</v>
      </c>
      <c r="M12" s="6" t="s">
        <v>43</v>
      </c>
      <c r="N12" s="6" t="s">
        <v>79</v>
      </c>
      <c r="O12" s="6" t="s">
        <v>31</v>
      </c>
      <c r="P12" s="6" t="s">
        <v>55</v>
      </c>
      <c r="Q12" s="6" t="s">
        <v>80</v>
      </c>
      <c r="R12" s="6">
        <v>1706.1840000000002</v>
      </c>
      <c r="S12" s="6">
        <v>9</v>
      </c>
      <c r="T12" s="6">
        <v>0.2</v>
      </c>
      <c r="U12" s="6">
        <v>85.309199999999805</v>
      </c>
    </row>
    <row r="13" spans="1:21" x14ac:dyDescent="0.35">
      <c r="A13" s="5">
        <v>12</v>
      </c>
      <c r="B13" s="6" t="s">
        <v>60</v>
      </c>
      <c r="C13" s="7">
        <v>41799</v>
      </c>
      <c r="D13" s="7">
        <v>41804</v>
      </c>
      <c r="E13" s="6" t="s">
        <v>49</v>
      </c>
      <c r="F13" s="6" t="s">
        <v>61</v>
      </c>
      <c r="G13" s="6" t="s">
        <v>62</v>
      </c>
      <c r="H13" s="6" t="s">
        <v>25</v>
      </c>
      <c r="I13" s="6" t="s">
        <v>26</v>
      </c>
      <c r="J13" s="6" t="s">
        <v>41</v>
      </c>
      <c r="K13" s="6" t="s">
        <v>42</v>
      </c>
      <c r="L13" s="6">
        <v>90032</v>
      </c>
      <c r="M13" s="6" t="s">
        <v>43</v>
      </c>
      <c r="N13" s="6" t="s">
        <v>81</v>
      </c>
      <c r="O13" s="6" t="s">
        <v>70</v>
      </c>
      <c r="P13" s="6" t="s">
        <v>71</v>
      </c>
      <c r="Q13" s="6" t="s">
        <v>82</v>
      </c>
      <c r="R13" s="6">
        <v>911.42399999999998</v>
      </c>
      <c r="S13" s="6">
        <v>4</v>
      </c>
      <c r="T13" s="6">
        <v>0.2</v>
      </c>
      <c r="U13" s="6">
        <v>68.356800000000021</v>
      </c>
    </row>
    <row r="14" spans="1:21" x14ac:dyDescent="0.35">
      <c r="A14" s="5">
        <v>13</v>
      </c>
      <c r="B14" s="6" t="s">
        <v>83</v>
      </c>
      <c r="C14" s="7">
        <v>42840</v>
      </c>
      <c r="D14" s="7">
        <v>42845</v>
      </c>
      <c r="E14" s="6" t="s">
        <v>49</v>
      </c>
      <c r="F14" s="6" t="s">
        <v>84</v>
      </c>
      <c r="G14" s="6" t="s">
        <v>85</v>
      </c>
      <c r="H14" s="6" t="s">
        <v>25</v>
      </c>
      <c r="I14" s="6" t="s">
        <v>26</v>
      </c>
      <c r="J14" s="6" t="s">
        <v>86</v>
      </c>
      <c r="K14" s="6" t="s">
        <v>87</v>
      </c>
      <c r="L14" s="6">
        <v>28027</v>
      </c>
      <c r="M14" s="6" t="s">
        <v>29</v>
      </c>
      <c r="N14" s="6" t="s">
        <v>88</v>
      </c>
      <c r="O14" s="6" t="s">
        <v>45</v>
      </c>
      <c r="P14" s="6" t="s">
        <v>89</v>
      </c>
      <c r="Q14" s="6" t="s">
        <v>90</v>
      </c>
      <c r="R14" s="6">
        <v>15.552000000000003</v>
      </c>
      <c r="S14" s="6">
        <v>3</v>
      </c>
      <c r="T14" s="6">
        <v>0.2</v>
      </c>
      <c r="U14" s="6">
        <v>5.4432</v>
      </c>
    </row>
    <row r="15" spans="1:21" x14ac:dyDescent="0.35">
      <c r="A15" s="5">
        <v>14</v>
      </c>
      <c r="B15" s="6" t="s">
        <v>91</v>
      </c>
      <c r="C15" s="7">
        <v>42709</v>
      </c>
      <c r="D15" s="7">
        <v>42714</v>
      </c>
      <c r="E15" s="6" t="s">
        <v>49</v>
      </c>
      <c r="F15" s="6" t="s">
        <v>92</v>
      </c>
      <c r="G15" s="6" t="s">
        <v>93</v>
      </c>
      <c r="H15" s="6" t="s">
        <v>25</v>
      </c>
      <c r="I15" s="6" t="s">
        <v>26</v>
      </c>
      <c r="J15" s="6" t="s">
        <v>94</v>
      </c>
      <c r="K15" s="6" t="s">
        <v>95</v>
      </c>
      <c r="L15" s="6">
        <v>98103</v>
      </c>
      <c r="M15" s="6" t="s">
        <v>43</v>
      </c>
      <c r="N15" s="6" t="s">
        <v>96</v>
      </c>
      <c r="O15" s="6" t="s">
        <v>45</v>
      </c>
      <c r="P15" s="6" t="s">
        <v>74</v>
      </c>
      <c r="Q15" s="6" t="s">
        <v>97</v>
      </c>
      <c r="R15" s="6">
        <v>407.97600000000006</v>
      </c>
      <c r="S15" s="6">
        <v>3</v>
      </c>
      <c r="T15" s="6">
        <v>0.2</v>
      </c>
      <c r="U15" s="6">
        <v>132.59219999999993</v>
      </c>
    </row>
    <row r="16" spans="1:21" x14ac:dyDescent="0.35">
      <c r="A16" s="5">
        <v>15</v>
      </c>
      <c r="B16" s="6" t="s">
        <v>98</v>
      </c>
      <c r="C16" s="7">
        <v>42330</v>
      </c>
      <c r="D16" s="7">
        <v>42334</v>
      </c>
      <c r="E16" s="6" t="s">
        <v>49</v>
      </c>
      <c r="F16" s="6" t="s">
        <v>99</v>
      </c>
      <c r="G16" s="6" t="s">
        <v>100</v>
      </c>
      <c r="H16" s="6" t="s">
        <v>101</v>
      </c>
      <c r="I16" s="6" t="s">
        <v>26</v>
      </c>
      <c r="J16" s="6" t="s">
        <v>102</v>
      </c>
      <c r="K16" s="6" t="s">
        <v>103</v>
      </c>
      <c r="L16" s="6">
        <v>76106</v>
      </c>
      <c r="M16" s="6" t="s">
        <v>104</v>
      </c>
      <c r="N16" s="6" t="s">
        <v>105</v>
      </c>
      <c r="O16" s="6" t="s">
        <v>45</v>
      </c>
      <c r="P16" s="6" t="s">
        <v>77</v>
      </c>
      <c r="Q16" s="6" t="s">
        <v>106</v>
      </c>
      <c r="R16" s="6">
        <v>68.809999999999988</v>
      </c>
      <c r="S16" s="6">
        <v>5</v>
      </c>
      <c r="T16" s="6">
        <v>0.8</v>
      </c>
      <c r="U16" s="6">
        <v>-123.858</v>
      </c>
    </row>
    <row r="17" spans="1:21" x14ac:dyDescent="0.35">
      <c r="A17" s="5">
        <v>16</v>
      </c>
      <c r="B17" s="6" t="s">
        <v>98</v>
      </c>
      <c r="C17" s="7">
        <v>42330</v>
      </c>
      <c r="D17" s="7">
        <v>42334</v>
      </c>
      <c r="E17" s="6" t="s">
        <v>49</v>
      </c>
      <c r="F17" s="6" t="s">
        <v>99</v>
      </c>
      <c r="G17" s="6" t="s">
        <v>100</v>
      </c>
      <c r="H17" s="6" t="s">
        <v>101</v>
      </c>
      <c r="I17" s="6" t="s">
        <v>26</v>
      </c>
      <c r="J17" s="6" t="s">
        <v>102</v>
      </c>
      <c r="K17" s="6" t="s">
        <v>103</v>
      </c>
      <c r="L17" s="6">
        <v>76106</v>
      </c>
      <c r="M17" s="6" t="s">
        <v>104</v>
      </c>
      <c r="N17" s="6" t="s">
        <v>107</v>
      </c>
      <c r="O17" s="6" t="s">
        <v>45</v>
      </c>
      <c r="P17" s="6" t="s">
        <v>74</v>
      </c>
      <c r="Q17" s="6" t="s">
        <v>108</v>
      </c>
      <c r="R17" s="6">
        <v>2.5439999999999996</v>
      </c>
      <c r="S17" s="6">
        <v>3</v>
      </c>
      <c r="T17" s="6">
        <v>0.8</v>
      </c>
      <c r="U17" s="6">
        <v>-3.8160000000000016</v>
      </c>
    </row>
    <row r="18" spans="1:21" x14ac:dyDescent="0.35">
      <c r="A18" s="5">
        <v>17</v>
      </c>
      <c r="B18" s="6" t="s">
        <v>109</v>
      </c>
      <c r="C18" s="7">
        <v>41954</v>
      </c>
      <c r="D18" s="7">
        <v>41961</v>
      </c>
      <c r="E18" s="6" t="s">
        <v>49</v>
      </c>
      <c r="F18" s="6" t="s">
        <v>110</v>
      </c>
      <c r="G18" s="6" t="s">
        <v>111</v>
      </c>
      <c r="H18" s="6" t="s">
        <v>25</v>
      </c>
      <c r="I18" s="6" t="s">
        <v>26</v>
      </c>
      <c r="J18" s="6" t="s">
        <v>112</v>
      </c>
      <c r="K18" s="6" t="s">
        <v>113</v>
      </c>
      <c r="L18" s="6">
        <v>53711</v>
      </c>
      <c r="M18" s="6" t="s">
        <v>104</v>
      </c>
      <c r="N18" s="6" t="s">
        <v>114</v>
      </c>
      <c r="O18" s="6" t="s">
        <v>45</v>
      </c>
      <c r="P18" s="6" t="s">
        <v>58</v>
      </c>
      <c r="Q18" s="6" t="s">
        <v>115</v>
      </c>
      <c r="R18" s="6">
        <v>665.88</v>
      </c>
      <c r="S18" s="6">
        <v>6</v>
      </c>
      <c r="T18" s="6">
        <v>0</v>
      </c>
      <c r="U18" s="6">
        <v>13.317599999999999</v>
      </c>
    </row>
    <row r="19" spans="1:21" x14ac:dyDescent="0.35">
      <c r="A19" s="5">
        <v>18</v>
      </c>
      <c r="B19" s="6" t="s">
        <v>116</v>
      </c>
      <c r="C19" s="7">
        <v>41772</v>
      </c>
      <c r="D19" s="7">
        <v>41774</v>
      </c>
      <c r="E19" s="6" t="s">
        <v>22</v>
      </c>
      <c r="F19" s="6" t="s">
        <v>117</v>
      </c>
      <c r="G19" s="6" t="s">
        <v>118</v>
      </c>
      <c r="H19" s="6" t="s">
        <v>25</v>
      </c>
      <c r="I19" s="6" t="s">
        <v>26</v>
      </c>
      <c r="J19" s="6" t="s">
        <v>119</v>
      </c>
      <c r="K19" s="6" t="s">
        <v>120</v>
      </c>
      <c r="L19" s="6">
        <v>84084</v>
      </c>
      <c r="M19" s="6" t="s">
        <v>43</v>
      </c>
      <c r="N19" s="6" t="s">
        <v>121</v>
      </c>
      <c r="O19" s="6" t="s">
        <v>45</v>
      </c>
      <c r="P19" s="6" t="s">
        <v>58</v>
      </c>
      <c r="Q19" s="6" t="s">
        <v>122</v>
      </c>
      <c r="R19" s="6">
        <v>55.5</v>
      </c>
      <c r="S19" s="6">
        <v>2</v>
      </c>
      <c r="T19" s="6">
        <v>0</v>
      </c>
      <c r="U19" s="6">
        <v>9.9899999999999949</v>
      </c>
    </row>
    <row r="20" spans="1:21" x14ac:dyDescent="0.35">
      <c r="A20" s="5">
        <v>19</v>
      </c>
      <c r="B20" s="6" t="s">
        <v>123</v>
      </c>
      <c r="C20" s="7">
        <v>41878</v>
      </c>
      <c r="D20" s="7">
        <v>41883</v>
      </c>
      <c r="E20" s="6" t="s">
        <v>22</v>
      </c>
      <c r="F20" s="6" t="s">
        <v>124</v>
      </c>
      <c r="G20" s="6" t="s">
        <v>125</v>
      </c>
      <c r="H20" s="6" t="s">
        <v>25</v>
      </c>
      <c r="I20" s="6" t="s">
        <v>26</v>
      </c>
      <c r="J20" s="6" t="s">
        <v>126</v>
      </c>
      <c r="K20" s="6" t="s">
        <v>42</v>
      </c>
      <c r="L20" s="6">
        <v>94109</v>
      </c>
      <c r="M20" s="6" t="s">
        <v>43</v>
      </c>
      <c r="N20" s="6" t="s">
        <v>127</v>
      </c>
      <c r="O20" s="6" t="s">
        <v>45</v>
      </c>
      <c r="P20" s="6" t="s">
        <v>67</v>
      </c>
      <c r="Q20" s="6" t="s">
        <v>128</v>
      </c>
      <c r="R20" s="6">
        <v>8.56</v>
      </c>
      <c r="S20" s="6">
        <v>2</v>
      </c>
      <c r="T20" s="6">
        <v>0</v>
      </c>
      <c r="U20" s="6">
        <v>2.4823999999999993</v>
      </c>
    </row>
    <row r="21" spans="1:21" x14ac:dyDescent="0.35">
      <c r="A21" s="5">
        <v>20</v>
      </c>
      <c r="B21" s="6" t="s">
        <v>123</v>
      </c>
      <c r="C21" s="7">
        <v>41878</v>
      </c>
      <c r="D21" s="7">
        <v>41883</v>
      </c>
      <c r="E21" s="6" t="s">
        <v>22</v>
      </c>
      <c r="F21" s="6" t="s">
        <v>124</v>
      </c>
      <c r="G21" s="6" t="s">
        <v>125</v>
      </c>
      <c r="H21" s="6" t="s">
        <v>25</v>
      </c>
      <c r="I21" s="6" t="s">
        <v>26</v>
      </c>
      <c r="J21" s="6" t="s">
        <v>126</v>
      </c>
      <c r="K21" s="6" t="s">
        <v>42</v>
      </c>
      <c r="L21" s="6">
        <v>94109</v>
      </c>
      <c r="M21" s="6" t="s">
        <v>43</v>
      </c>
      <c r="N21" s="6" t="s">
        <v>129</v>
      </c>
      <c r="O21" s="6" t="s">
        <v>70</v>
      </c>
      <c r="P21" s="6" t="s">
        <v>71</v>
      </c>
      <c r="Q21" s="6" t="s">
        <v>130</v>
      </c>
      <c r="R21" s="6">
        <v>213.48000000000002</v>
      </c>
      <c r="S21" s="6">
        <v>3</v>
      </c>
      <c r="T21" s="6">
        <v>0.2</v>
      </c>
      <c r="U21" s="6">
        <v>16.010999999999981</v>
      </c>
    </row>
    <row r="22" spans="1:21" x14ac:dyDescent="0.35">
      <c r="A22" s="5">
        <v>21</v>
      </c>
      <c r="B22" s="6" t="s">
        <v>123</v>
      </c>
      <c r="C22" s="7">
        <v>41878</v>
      </c>
      <c r="D22" s="7">
        <v>41883</v>
      </c>
      <c r="E22" s="6" t="s">
        <v>22</v>
      </c>
      <c r="F22" s="6" t="s">
        <v>124</v>
      </c>
      <c r="G22" s="6" t="s">
        <v>125</v>
      </c>
      <c r="H22" s="6" t="s">
        <v>25</v>
      </c>
      <c r="I22" s="6" t="s">
        <v>26</v>
      </c>
      <c r="J22" s="6" t="s">
        <v>126</v>
      </c>
      <c r="K22" s="6" t="s">
        <v>42</v>
      </c>
      <c r="L22" s="6">
        <v>94109</v>
      </c>
      <c r="M22" s="6" t="s">
        <v>43</v>
      </c>
      <c r="N22" s="6" t="s">
        <v>131</v>
      </c>
      <c r="O22" s="6" t="s">
        <v>45</v>
      </c>
      <c r="P22" s="6" t="s">
        <v>74</v>
      </c>
      <c r="Q22" s="6" t="s">
        <v>132</v>
      </c>
      <c r="R22" s="6">
        <v>22.72</v>
      </c>
      <c r="S22" s="6">
        <v>4</v>
      </c>
      <c r="T22" s="6">
        <v>0.2</v>
      </c>
      <c r="U22" s="6">
        <v>7.3839999999999986</v>
      </c>
    </row>
    <row r="23" spans="1:21" x14ac:dyDescent="0.35">
      <c r="A23" s="5">
        <v>22</v>
      </c>
      <c r="B23" s="6" t="s">
        <v>133</v>
      </c>
      <c r="C23" s="7">
        <v>42713</v>
      </c>
      <c r="D23" s="7">
        <v>42717</v>
      </c>
      <c r="E23" s="6" t="s">
        <v>49</v>
      </c>
      <c r="F23" s="6" t="s">
        <v>134</v>
      </c>
      <c r="G23" s="6" t="s">
        <v>135</v>
      </c>
      <c r="H23" s="6" t="s">
        <v>40</v>
      </c>
      <c r="I23" s="6" t="s">
        <v>26</v>
      </c>
      <c r="J23" s="6" t="s">
        <v>136</v>
      </c>
      <c r="K23" s="6" t="s">
        <v>137</v>
      </c>
      <c r="L23" s="6">
        <v>68025</v>
      </c>
      <c r="M23" s="6" t="s">
        <v>104</v>
      </c>
      <c r="N23" s="6" t="s">
        <v>138</v>
      </c>
      <c r="O23" s="6" t="s">
        <v>45</v>
      </c>
      <c r="P23" s="6" t="s">
        <v>67</v>
      </c>
      <c r="Q23" s="6" t="s">
        <v>139</v>
      </c>
      <c r="R23" s="6">
        <v>19.459999999999997</v>
      </c>
      <c r="S23" s="6">
        <v>7</v>
      </c>
      <c r="T23" s="6">
        <v>0</v>
      </c>
      <c r="U23" s="6">
        <v>5.0595999999999997</v>
      </c>
    </row>
    <row r="24" spans="1:21" x14ac:dyDescent="0.35">
      <c r="A24" s="5">
        <v>23</v>
      </c>
      <c r="B24" s="6" t="s">
        <v>133</v>
      </c>
      <c r="C24" s="7">
        <v>42713</v>
      </c>
      <c r="D24" s="7">
        <v>42717</v>
      </c>
      <c r="E24" s="6" t="s">
        <v>49</v>
      </c>
      <c r="F24" s="6" t="s">
        <v>134</v>
      </c>
      <c r="G24" s="6" t="s">
        <v>135</v>
      </c>
      <c r="H24" s="6" t="s">
        <v>40</v>
      </c>
      <c r="I24" s="6" t="s">
        <v>26</v>
      </c>
      <c r="J24" s="6" t="s">
        <v>136</v>
      </c>
      <c r="K24" s="6" t="s">
        <v>137</v>
      </c>
      <c r="L24" s="6">
        <v>68025</v>
      </c>
      <c r="M24" s="6" t="s">
        <v>104</v>
      </c>
      <c r="N24" s="6" t="s">
        <v>140</v>
      </c>
      <c r="O24" s="6" t="s">
        <v>45</v>
      </c>
      <c r="P24" s="6" t="s">
        <v>77</v>
      </c>
      <c r="Q24" s="6" t="s">
        <v>141</v>
      </c>
      <c r="R24" s="6">
        <v>60.339999999999996</v>
      </c>
      <c r="S24" s="6">
        <v>7</v>
      </c>
      <c r="T24" s="6">
        <v>0</v>
      </c>
      <c r="U24" s="6">
        <v>15.688400000000001</v>
      </c>
    </row>
    <row r="25" spans="1:21" x14ac:dyDescent="0.35">
      <c r="A25" s="5">
        <v>24</v>
      </c>
      <c r="B25" s="6" t="s">
        <v>142</v>
      </c>
      <c r="C25" s="7">
        <v>42932</v>
      </c>
      <c r="D25" s="7">
        <v>42934</v>
      </c>
      <c r="E25" s="6" t="s">
        <v>22</v>
      </c>
      <c r="F25" s="6" t="s">
        <v>143</v>
      </c>
      <c r="G25" s="6" t="s">
        <v>144</v>
      </c>
      <c r="H25" s="6" t="s">
        <v>25</v>
      </c>
      <c r="I25" s="6" t="s">
        <v>26</v>
      </c>
      <c r="J25" s="6" t="s">
        <v>145</v>
      </c>
      <c r="K25" s="6" t="s">
        <v>146</v>
      </c>
      <c r="L25" s="6">
        <v>19140</v>
      </c>
      <c r="M25" s="6" t="s">
        <v>147</v>
      </c>
      <c r="N25" s="6" t="s">
        <v>148</v>
      </c>
      <c r="O25" s="6" t="s">
        <v>31</v>
      </c>
      <c r="P25" s="6" t="s">
        <v>35</v>
      </c>
      <c r="Q25" s="6" t="s">
        <v>149</v>
      </c>
      <c r="R25" s="6">
        <v>71.371999999999986</v>
      </c>
      <c r="S25" s="6">
        <v>2</v>
      </c>
      <c r="T25" s="6">
        <v>0.3</v>
      </c>
      <c r="U25" s="6">
        <v>-1.0196000000000005</v>
      </c>
    </row>
    <row r="26" spans="1:21" x14ac:dyDescent="0.35">
      <c r="A26" s="5">
        <v>25</v>
      </c>
      <c r="B26" s="6" t="s">
        <v>150</v>
      </c>
      <c r="C26" s="7">
        <v>42272</v>
      </c>
      <c r="D26" s="7">
        <v>42277</v>
      </c>
      <c r="E26" s="6" t="s">
        <v>49</v>
      </c>
      <c r="F26" s="6" t="s">
        <v>151</v>
      </c>
      <c r="G26" s="6" t="s">
        <v>152</v>
      </c>
      <c r="H26" s="6" t="s">
        <v>25</v>
      </c>
      <c r="I26" s="6" t="s">
        <v>26</v>
      </c>
      <c r="J26" s="6" t="s">
        <v>153</v>
      </c>
      <c r="K26" s="6" t="s">
        <v>120</v>
      </c>
      <c r="L26" s="6">
        <v>84057</v>
      </c>
      <c r="M26" s="6" t="s">
        <v>43</v>
      </c>
      <c r="N26" s="6" t="s">
        <v>54</v>
      </c>
      <c r="O26" s="6" t="s">
        <v>31</v>
      </c>
      <c r="P26" s="6" t="s">
        <v>55</v>
      </c>
      <c r="Q26" s="6" t="s">
        <v>56</v>
      </c>
      <c r="R26" s="6">
        <v>1044.6299999999999</v>
      </c>
      <c r="S26" s="6">
        <v>3</v>
      </c>
      <c r="T26" s="6">
        <v>0</v>
      </c>
      <c r="U26" s="6">
        <v>240.26490000000001</v>
      </c>
    </row>
    <row r="27" spans="1:21" x14ac:dyDescent="0.35">
      <c r="A27" s="5">
        <v>26</v>
      </c>
      <c r="B27" s="6" t="s">
        <v>154</v>
      </c>
      <c r="C27" s="7">
        <v>42385</v>
      </c>
      <c r="D27" s="7">
        <v>42389</v>
      </c>
      <c r="E27" s="6" t="s">
        <v>22</v>
      </c>
      <c r="F27" s="6" t="s">
        <v>155</v>
      </c>
      <c r="G27" s="6" t="s">
        <v>156</v>
      </c>
      <c r="H27" s="6" t="s">
        <v>25</v>
      </c>
      <c r="I27" s="6" t="s">
        <v>26</v>
      </c>
      <c r="J27" s="6" t="s">
        <v>41</v>
      </c>
      <c r="K27" s="6" t="s">
        <v>42</v>
      </c>
      <c r="L27" s="6">
        <v>90049</v>
      </c>
      <c r="M27" s="6" t="s">
        <v>43</v>
      </c>
      <c r="N27" s="6" t="s">
        <v>157</v>
      </c>
      <c r="O27" s="6" t="s">
        <v>45</v>
      </c>
      <c r="P27" s="6" t="s">
        <v>74</v>
      </c>
      <c r="Q27" s="6" t="s">
        <v>158</v>
      </c>
      <c r="R27" s="6">
        <v>11.648000000000001</v>
      </c>
      <c r="S27" s="6">
        <v>2</v>
      </c>
      <c r="T27" s="6">
        <v>0.2</v>
      </c>
      <c r="U27" s="6">
        <v>4.2224000000000004</v>
      </c>
    </row>
    <row r="28" spans="1:21" x14ac:dyDescent="0.35">
      <c r="A28" s="5">
        <v>27</v>
      </c>
      <c r="B28" s="6" t="s">
        <v>154</v>
      </c>
      <c r="C28" s="7">
        <v>42385</v>
      </c>
      <c r="D28" s="7">
        <v>42389</v>
      </c>
      <c r="E28" s="6" t="s">
        <v>22</v>
      </c>
      <c r="F28" s="6" t="s">
        <v>155</v>
      </c>
      <c r="G28" s="6" t="s">
        <v>156</v>
      </c>
      <c r="H28" s="6" t="s">
        <v>25</v>
      </c>
      <c r="I28" s="6" t="s">
        <v>26</v>
      </c>
      <c r="J28" s="6" t="s">
        <v>41</v>
      </c>
      <c r="K28" s="6" t="s">
        <v>42</v>
      </c>
      <c r="L28" s="6">
        <v>90049</v>
      </c>
      <c r="M28" s="6" t="s">
        <v>43</v>
      </c>
      <c r="N28" s="6" t="s">
        <v>159</v>
      </c>
      <c r="O28" s="6" t="s">
        <v>70</v>
      </c>
      <c r="P28" s="6" t="s">
        <v>160</v>
      </c>
      <c r="Q28" s="6" t="s">
        <v>161</v>
      </c>
      <c r="R28" s="6">
        <v>90.570000000000007</v>
      </c>
      <c r="S28" s="6">
        <v>3</v>
      </c>
      <c r="T28" s="6">
        <v>0</v>
      </c>
      <c r="U28" s="6">
        <v>11.774100000000004</v>
      </c>
    </row>
    <row r="29" spans="1:21" x14ac:dyDescent="0.35">
      <c r="A29" s="5">
        <v>28</v>
      </c>
      <c r="B29" s="6" t="s">
        <v>162</v>
      </c>
      <c r="C29" s="7">
        <v>42264</v>
      </c>
      <c r="D29" s="7">
        <v>42268</v>
      </c>
      <c r="E29" s="6" t="s">
        <v>49</v>
      </c>
      <c r="F29" s="6" t="s">
        <v>163</v>
      </c>
      <c r="G29" s="6" t="s">
        <v>164</v>
      </c>
      <c r="H29" s="6" t="s">
        <v>25</v>
      </c>
      <c r="I29" s="6" t="s">
        <v>26</v>
      </c>
      <c r="J29" s="6" t="s">
        <v>145</v>
      </c>
      <c r="K29" s="6" t="s">
        <v>146</v>
      </c>
      <c r="L29" s="6">
        <v>19140</v>
      </c>
      <c r="M29" s="6" t="s">
        <v>147</v>
      </c>
      <c r="N29" s="6" t="s">
        <v>165</v>
      </c>
      <c r="O29" s="6" t="s">
        <v>31</v>
      </c>
      <c r="P29" s="6" t="s">
        <v>32</v>
      </c>
      <c r="Q29" s="6" t="s">
        <v>166</v>
      </c>
      <c r="R29" s="6">
        <v>3083.4300000000003</v>
      </c>
      <c r="S29" s="6">
        <v>7</v>
      </c>
      <c r="T29" s="6">
        <v>0.5</v>
      </c>
      <c r="U29" s="6">
        <v>-1665.0522000000001</v>
      </c>
    </row>
    <row r="30" spans="1:21" x14ac:dyDescent="0.35">
      <c r="A30" s="5">
        <v>29</v>
      </c>
      <c r="B30" s="6" t="s">
        <v>162</v>
      </c>
      <c r="C30" s="7">
        <v>42264</v>
      </c>
      <c r="D30" s="7">
        <v>42268</v>
      </c>
      <c r="E30" s="6" t="s">
        <v>49</v>
      </c>
      <c r="F30" s="6" t="s">
        <v>163</v>
      </c>
      <c r="G30" s="6" t="s">
        <v>164</v>
      </c>
      <c r="H30" s="6" t="s">
        <v>25</v>
      </c>
      <c r="I30" s="6" t="s">
        <v>26</v>
      </c>
      <c r="J30" s="6" t="s">
        <v>145</v>
      </c>
      <c r="K30" s="6" t="s">
        <v>146</v>
      </c>
      <c r="L30" s="6">
        <v>19140</v>
      </c>
      <c r="M30" s="6" t="s">
        <v>147</v>
      </c>
      <c r="N30" s="6" t="s">
        <v>167</v>
      </c>
      <c r="O30" s="6" t="s">
        <v>45</v>
      </c>
      <c r="P30" s="6" t="s">
        <v>74</v>
      </c>
      <c r="Q30" s="6" t="s">
        <v>168</v>
      </c>
      <c r="R30" s="6">
        <v>9.6180000000000021</v>
      </c>
      <c r="S30" s="6">
        <v>2</v>
      </c>
      <c r="T30" s="6">
        <v>0.7</v>
      </c>
      <c r="U30" s="6">
        <v>-7.0532000000000004</v>
      </c>
    </row>
    <row r="31" spans="1:21" x14ac:dyDescent="0.35">
      <c r="A31" s="5">
        <v>30</v>
      </c>
      <c r="B31" s="6" t="s">
        <v>162</v>
      </c>
      <c r="C31" s="7">
        <v>42264</v>
      </c>
      <c r="D31" s="7">
        <v>42268</v>
      </c>
      <c r="E31" s="6" t="s">
        <v>49</v>
      </c>
      <c r="F31" s="6" t="s">
        <v>163</v>
      </c>
      <c r="G31" s="6" t="s">
        <v>164</v>
      </c>
      <c r="H31" s="6" t="s">
        <v>25</v>
      </c>
      <c r="I31" s="6" t="s">
        <v>26</v>
      </c>
      <c r="J31" s="6" t="s">
        <v>145</v>
      </c>
      <c r="K31" s="6" t="s">
        <v>146</v>
      </c>
      <c r="L31" s="6">
        <v>19140</v>
      </c>
      <c r="M31" s="6" t="s">
        <v>147</v>
      </c>
      <c r="N31" s="6" t="s">
        <v>169</v>
      </c>
      <c r="O31" s="6" t="s">
        <v>31</v>
      </c>
      <c r="P31" s="6" t="s">
        <v>64</v>
      </c>
      <c r="Q31" s="6" t="s">
        <v>170</v>
      </c>
      <c r="R31" s="6">
        <v>124.20000000000002</v>
      </c>
      <c r="S31" s="6">
        <v>3</v>
      </c>
      <c r="T31" s="6">
        <v>0.2</v>
      </c>
      <c r="U31" s="6">
        <v>15.524999999999991</v>
      </c>
    </row>
    <row r="32" spans="1:21" x14ac:dyDescent="0.35">
      <c r="A32" s="5">
        <v>31</v>
      </c>
      <c r="B32" s="6" t="s">
        <v>162</v>
      </c>
      <c r="C32" s="7">
        <v>42264</v>
      </c>
      <c r="D32" s="7">
        <v>42268</v>
      </c>
      <c r="E32" s="6" t="s">
        <v>49</v>
      </c>
      <c r="F32" s="6" t="s">
        <v>163</v>
      </c>
      <c r="G32" s="6" t="s">
        <v>164</v>
      </c>
      <c r="H32" s="6" t="s">
        <v>25</v>
      </c>
      <c r="I32" s="6" t="s">
        <v>26</v>
      </c>
      <c r="J32" s="6" t="s">
        <v>145</v>
      </c>
      <c r="K32" s="6" t="s">
        <v>146</v>
      </c>
      <c r="L32" s="6">
        <v>19140</v>
      </c>
      <c r="M32" s="6" t="s">
        <v>147</v>
      </c>
      <c r="N32" s="6" t="s">
        <v>171</v>
      </c>
      <c r="O32" s="6" t="s">
        <v>45</v>
      </c>
      <c r="P32" s="6" t="s">
        <v>172</v>
      </c>
      <c r="Q32" s="6" t="s">
        <v>173</v>
      </c>
      <c r="R32" s="6">
        <v>3.2640000000000002</v>
      </c>
      <c r="S32" s="6">
        <v>2</v>
      </c>
      <c r="T32" s="6">
        <v>0.2</v>
      </c>
      <c r="U32" s="6">
        <v>1.1015999999999997</v>
      </c>
    </row>
    <row r="33" spans="1:21" x14ac:dyDescent="0.35">
      <c r="A33" s="5">
        <v>32</v>
      </c>
      <c r="B33" s="6" t="s">
        <v>162</v>
      </c>
      <c r="C33" s="7">
        <v>42264</v>
      </c>
      <c r="D33" s="7">
        <v>42268</v>
      </c>
      <c r="E33" s="6" t="s">
        <v>49</v>
      </c>
      <c r="F33" s="6" t="s">
        <v>163</v>
      </c>
      <c r="G33" s="6" t="s">
        <v>164</v>
      </c>
      <c r="H33" s="6" t="s">
        <v>25</v>
      </c>
      <c r="I33" s="6" t="s">
        <v>26</v>
      </c>
      <c r="J33" s="6" t="s">
        <v>145</v>
      </c>
      <c r="K33" s="6" t="s">
        <v>146</v>
      </c>
      <c r="L33" s="6">
        <v>19140</v>
      </c>
      <c r="M33" s="6" t="s">
        <v>147</v>
      </c>
      <c r="N33" s="6" t="s">
        <v>174</v>
      </c>
      <c r="O33" s="6" t="s">
        <v>45</v>
      </c>
      <c r="P33" s="6" t="s">
        <v>67</v>
      </c>
      <c r="Q33" s="6" t="s">
        <v>175</v>
      </c>
      <c r="R33" s="6">
        <v>86.304000000000002</v>
      </c>
      <c r="S33" s="6">
        <v>6</v>
      </c>
      <c r="T33" s="6">
        <v>0.2</v>
      </c>
      <c r="U33" s="6">
        <v>9.7091999999999885</v>
      </c>
    </row>
    <row r="34" spans="1:21" x14ac:dyDescent="0.35">
      <c r="A34" s="5">
        <v>33</v>
      </c>
      <c r="B34" s="6" t="s">
        <v>162</v>
      </c>
      <c r="C34" s="7">
        <v>42264</v>
      </c>
      <c r="D34" s="7">
        <v>42268</v>
      </c>
      <c r="E34" s="6" t="s">
        <v>49</v>
      </c>
      <c r="F34" s="6" t="s">
        <v>163</v>
      </c>
      <c r="G34" s="6" t="s">
        <v>164</v>
      </c>
      <c r="H34" s="6" t="s">
        <v>25</v>
      </c>
      <c r="I34" s="6" t="s">
        <v>26</v>
      </c>
      <c r="J34" s="6" t="s">
        <v>145</v>
      </c>
      <c r="K34" s="6" t="s">
        <v>146</v>
      </c>
      <c r="L34" s="6">
        <v>19140</v>
      </c>
      <c r="M34" s="6" t="s">
        <v>147</v>
      </c>
      <c r="N34" s="6" t="s">
        <v>176</v>
      </c>
      <c r="O34" s="6" t="s">
        <v>45</v>
      </c>
      <c r="P34" s="6" t="s">
        <v>74</v>
      </c>
      <c r="Q34" s="6" t="s">
        <v>177</v>
      </c>
      <c r="R34" s="6">
        <v>6.8580000000000014</v>
      </c>
      <c r="S34" s="6">
        <v>6</v>
      </c>
      <c r="T34" s="6">
        <v>0.7</v>
      </c>
      <c r="U34" s="6">
        <v>-5.7149999999999999</v>
      </c>
    </row>
    <row r="35" spans="1:21" x14ac:dyDescent="0.35">
      <c r="A35" s="5">
        <v>34</v>
      </c>
      <c r="B35" s="6" t="s">
        <v>162</v>
      </c>
      <c r="C35" s="7">
        <v>42264</v>
      </c>
      <c r="D35" s="7">
        <v>42268</v>
      </c>
      <c r="E35" s="6" t="s">
        <v>49</v>
      </c>
      <c r="F35" s="6" t="s">
        <v>163</v>
      </c>
      <c r="G35" s="6" t="s">
        <v>164</v>
      </c>
      <c r="H35" s="6" t="s">
        <v>25</v>
      </c>
      <c r="I35" s="6" t="s">
        <v>26</v>
      </c>
      <c r="J35" s="6" t="s">
        <v>145</v>
      </c>
      <c r="K35" s="6" t="s">
        <v>146</v>
      </c>
      <c r="L35" s="6">
        <v>19140</v>
      </c>
      <c r="M35" s="6" t="s">
        <v>147</v>
      </c>
      <c r="N35" s="6" t="s">
        <v>178</v>
      </c>
      <c r="O35" s="6" t="s">
        <v>45</v>
      </c>
      <c r="P35" s="6" t="s">
        <v>67</v>
      </c>
      <c r="Q35" s="6" t="s">
        <v>179</v>
      </c>
      <c r="R35" s="6">
        <v>15.76</v>
      </c>
      <c r="S35" s="6">
        <v>2</v>
      </c>
      <c r="T35" s="6">
        <v>0.2</v>
      </c>
      <c r="U35" s="6">
        <v>3.5460000000000007</v>
      </c>
    </row>
    <row r="36" spans="1:21" x14ac:dyDescent="0.35">
      <c r="A36" s="5">
        <v>35</v>
      </c>
      <c r="B36" s="6" t="s">
        <v>180</v>
      </c>
      <c r="C36" s="7">
        <v>43027</v>
      </c>
      <c r="D36" s="7">
        <v>43031</v>
      </c>
      <c r="E36" s="6" t="s">
        <v>22</v>
      </c>
      <c r="F36" s="6" t="s">
        <v>181</v>
      </c>
      <c r="G36" s="6" t="s">
        <v>182</v>
      </c>
      <c r="H36" s="6" t="s">
        <v>101</v>
      </c>
      <c r="I36" s="6" t="s">
        <v>26</v>
      </c>
      <c r="J36" s="6" t="s">
        <v>183</v>
      </c>
      <c r="K36" s="6" t="s">
        <v>103</v>
      </c>
      <c r="L36" s="6">
        <v>77095</v>
      </c>
      <c r="M36" s="6" t="s">
        <v>104</v>
      </c>
      <c r="N36" s="6" t="s">
        <v>184</v>
      </c>
      <c r="O36" s="6" t="s">
        <v>45</v>
      </c>
      <c r="P36" s="6" t="s">
        <v>89</v>
      </c>
      <c r="Q36" s="6" t="s">
        <v>185</v>
      </c>
      <c r="R36" s="6">
        <v>29.472000000000001</v>
      </c>
      <c r="S36" s="6">
        <v>3</v>
      </c>
      <c r="T36" s="6">
        <v>0.2</v>
      </c>
      <c r="U36" s="6">
        <v>9.9467999999999979</v>
      </c>
    </row>
    <row r="37" spans="1:21" x14ac:dyDescent="0.35">
      <c r="A37" s="5">
        <v>36</v>
      </c>
      <c r="B37" s="6" t="s">
        <v>186</v>
      </c>
      <c r="C37" s="7">
        <v>42712</v>
      </c>
      <c r="D37" s="7">
        <v>42714</v>
      </c>
      <c r="E37" s="6" t="s">
        <v>187</v>
      </c>
      <c r="F37" s="6" t="s">
        <v>188</v>
      </c>
      <c r="G37" s="6" t="s">
        <v>189</v>
      </c>
      <c r="H37" s="6" t="s">
        <v>40</v>
      </c>
      <c r="I37" s="6" t="s">
        <v>26</v>
      </c>
      <c r="J37" s="6" t="s">
        <v>190</v>
      </c>
      <c r="K37" s="6" t="s">
        <v>103</v>
      </c>
      <c r="L37" s="6">
        <v>75080</v>
      </c>
      <c r="M37" s="6" t="s">
        <v>104</v>
      </c>
      <c r="N37" s="6" t="s">
        <v>191</v>
      </c>
      <c r="O37" s="6" t="s">
        <v>70</v>
      </c>
      <c r="P37" s="6" t="s">
        <v>71</v>
      </c>
      <c r="Q37" s="6" t="s">
        <v>192</v>
      </c>
      <c r="R37" s="6">
        <v>1097.5440000000003</v>
      </c>
      <c r="S37" s="6">
        <v>7</v>
      </c>
      <c r="T37" s="6">
        <v>0.2</v>
      </c>
      <c r="U37" s="6">
        <v>123.47369999999989</v>
      </c>
    </row>
    <row r="38" spans="1:21" x14ac:dyDescent="0.35">
      <c r="A38" s="5">
        <v>37</v>
      </c>
      <c r="B38" s="6" t="s">
        <v>186</v>
      </c>
      <c r="C38" s="7">
        <v>42712</v>
      </c>
      <c r="D38" s="7">
        <v>42714</v>
      </c>
      <c r="E38" s="6" t="s">
        <v>187</v>
      </c>
      <c r="F38" s="6" t="s">
        <v>188</v>
      </c>
      <c r="G38" s="6" t="s">
        <v>189</v>
      </c>
      <c r="H38" s="6" t="s">
        <v>40</v>
      </c>
      <c r="I38" s="6" t="s">
        <v>26</v>
      </c>
      <c r="J38" s="6" t="s">
        <v>190</v>
      </c>
      <c r="K38" s="6" t="s">
        <v>103</v>
      </c>
      <c r="L38" s="6">
        <v>75080</v>
      </c>
      <c r="M38" s="6" t="s">
        <v>104</v>
      </c>
      <c r="N38" s="6" t="s">
        <v>193</v>
      </c>
      <c r="O38" s="6" t="s">
        <v>31</v>
      </c>
      <c r="P38" s="6" t="s">
        <v>64</v>
      </c>
      <c r="Q38" s="6" t="s">
        <v>194</v>
      </c>
      <c r="R38" s="6">
        <v>190.92</v>
      </c>
      <c r="S38" s="6">
        <v>5</v>
      </c>
      <c r="T38" s="6">
        <v>0.6</v>
      </c>
      <c r="U38" s="6">
        <v>-147.96300000000002</v>
      </c>
    </row>
    <row r="39" spans="1:21" x14ac:dyDescent="0.35">
      <c r="A39" s="5">
        <v>38</v>
      </c>
      <c r="B39" s="6" t="s">
        <v>195</v>
      </c>
      <c r="C39" s="7">
        <v>42365</v>
      </c>
      <c r="D39" s="7">
        <v>42369</v>
      </c>
      <c r="E39" s="6" t="s">
        <v>49</v>
      </c>
      <c r="F39" s="6" t="s">
        <v>196</v>
      </c>
      <c r="G39" s="6" t="s">
        <v>197</v>
      </c>
      <c r="H39" s="6" t="s">
        <v>101</v>
      </c>
      <c r="I39" s="6" t="s">
        <v>26</v>
      </c>
      <c r="J39" s="6" t="s">
        <v>183</v>
      </c>
      <c r="K39" s="6" t="s">
        <v>103</v>
      </c>
      <c r="L39" s="6">
        <v>77041</v>
      </c>
      <c r="M39" s="6" t="s">
        <v>104</v>
      </c>
      <c r="N39" s="6" t="s">
        <v>198</v>
      </c>
      <c r="O39" s="6" t="s">
        <v>45</v>
      </c>
      <c r="P39" s="6" t="s">
        <v>172</v>
      </c>
      <c r="Q39" s="6" t="s">
        <v>199</v>
      </c>
      <c r="R39" s="6">
        <v>113.328</v>
      </c>
      <c r="S39" s="6">
        <v>9</v>
      </c>
      <c r="T39" s="6">
        <v>0.2</v>
      </c>
      <c r="U39" s="6">
        <v>35.414999999999999</v>
      </c>
    </row>
    <row r="40" spans="1:21" x14ac:dyDescent="0.35">
      <c r="A40" s="5">
        <v>39</v>
      </c>
      <c r="B40" s="6" t="s">
        <v>195</v>
      </c>
      <c r="C40" s="7">
        <v>42365</v>
      </c>
      <c r="D40" s="7">
        <v>42369</v>
      </c>
      <c r="E40" s="6" t="s">
        <v>49</v>
      </c>
      <c r="F40" s="6" t="s">
        <v>196</v>
      </c>
      <c r="G40" s="6" t="s">
        <v>197</v>
      </c>
      <c r="H40" s="6" t="s">
        <v>101</v>
      </c>
      <c r="I40" s="6" t="s">
        <v>26</v>
      </c>
      <c r="J40" s="6" t="s">
        <v>183</v>
      </c>
      <c r="K40" s="6" t="s">
        <v>103</v>
      </c>
      <c r="L40" s="6">
        <v>77041</v>
      </c>
      <c r="M40" s="6" t="s">
        <v>104</v>
      </c>
      <c r="N40" s="6" t="s">
        <v>200</v>
      </c>
      <c r="O40" s="6" t="s">
        <v>31</v>
      </c>
      <c r="P40" s="6" t="s">
        <v>32</v>
      </c>
      <c r="Q40" s="6" t="s">
        <v>201</v>
      </c>
      <c r="R40" s="6">
        <v>532.39919999999995</v>
      </c>
      <c r="S40" s="6">
        <v>3</v>
      </c>
      <c r="T40" s="6">
        <v>0.32</v>
      </c>
      <c r="U40" s="6">
        <v>-46.976400000000012</v>
      </c>
    </row>
    <row r="41" spans="1:21" x14ac:dyDescent="0.35">
      <c r="A41" s="5">
        <v>40</v>
      </c>
      <c r="B41" s="6" t="s">
        <v>195</v>
      </c>
      <c r="C41" s="7">
        <v>42365</v>
      </c>
      <c r="D41" s="7">
        <v>42369</v>
      </c>
      <c r="E41" s="6" t="s">
        <v>49</v>
      </c>
      <c r="F41" s="6" t="s">
        <v>196</v>
      </c>
      <c r="G41" s="6" t="s">
        <v>197</v>
      </c>
      <c r="H41" s="6" t="s">
        <v>101</v>
      </c>
      <c r="I41" s="6" t="s">
        <v>26</v>
      </c>
      <c r="J41" s="6" t="s">
        <v>183</v>
      </c>
      <c r="K41" s="6" t="s">
        <v>103</v>
      </c>
      <c r="L41" s="6">
        <v>77041</v>
      </c>
      <c r="M41" s="6" t="s">
        <v>104</v>
      </c>
      <c r="N41" s="6" t="s">
        <v>202</v>
      </c>
      <c r="O41" s="6" t="s">
        <v>31</v>
      </c>
      <c r="P41" s="6" t="s">
        <v>35</v>
      </c>
      <c r="Q41" s="6" t="s">
        <v>203</v>
      </c>
      <c r="R41" s="6">
        <v>212.05799999999999</v>
      </c>
      <c r="S41" s="6">
        <v>3</v>
      </c>
      <c r="T41" s="6">
        <v>0.3</v>
      </c>
      <c r="U41" s="6">
        <v>-15.146999999999991</v>
      </c>
    </row>
    <row r="42" spans="1:21" x14ac:dyDescent="0.35">
      <c r="A42" s="5">
        <v>41</v>
      </c>
      <c r="B42" s="6" t="s">
        <v>195</v>
      </c>
      <c r="C42" s="7">
        <v>42365</v>
      </c>
      <c r="D42" s="7">
        <v>42369</v>
      </c>
      <c r="E42" s="6" t="s">
        <v>49</v>
      </c>
      <c r="F42" s="6" t="s">
        <v>196</v>
      </c>
      <c r="G42" s="6" t="s">
        <v>197</v>
      </c>
      <c r="H42" s="6" t="s">
        <v>101</v>
      </c>
      <c r="I42" s="6" t="s">
        <v>26</v>
      </c>
      <c r="J42" s="6" t="s">
        <v>183</v>
      </c>
      <c r="K42" s="6" t="s">
        <v>103</v>
      </c>
      <c r="L42" s="6">
        <v>77041</v>
      </c>
      <c r="M42" s="6" t="s">
        <v>104</v>
      </c>
      <c r="N42" s="6" t="s">
        <v>204</v>
      </c>
      <c r="O42" s="6" t="s">
        <v>70</v>
      </c>
      <c r="P42" s="6" t="s">
        <v>71</v>
      </c>
      <c r="Q42" s="6" t="s">
        <v>205</v>
      </c>
      <c r="R42" s="6">
        <v>371.16800000000001</v>
      </c>
      <c r="S42" s="6">
        <v>4</v>
      </c>
      <c r="T42" s="6">
        <v>0.2</v>
      </c>
      <c r="U42" s="6">
        <v>41.756399999999957</v>
      </c>
    </row>
    <row r="43" spans="1:21" x14ac:dyDescent="0.35">
      <c r="A43" s="5">
        <v>42</v>
      </c>
      <c r="B43" s="6" t="s">
        <v>206</v>
      </c>
      <c r="C43" s="7">
        <v>42988</v>
      </c>
      <c r="D43" s="7">
        <v>42993</v>
      </c>
      <c r="E43" s="6" t="s">
        <v>49</v>
      </c>
      <c r="F43" s="6" t="s">
        <v>207</v>
      </c>
      <c r="G43" s="6" t="s">
        <v>208</v>
      </c>
      <c r="H43" s="6" t="s">
        <v>40</v>
      </c>
      <c r="I43" s="6" t="s">
        <v>26</v>
      </c>
      <c r="J43" s="6" t="s">
        <v>209</v>
      </c>
      <c r="K43" s="6" t="s">
        <v>210</v>
      </c>
      <c r="L43" s="6">
        <v>60540</v>
      </c>
      <c r="M43" s="6" t="s">
        <v>104</v>
      </c>
      <c r="N43" s="6" t="s">
        <v>211</v>
      </c>
      <c r="O43" s="6" t="s">
        <v>70</v>
      </c>
      <c r="P43" s="6" t="s">
        <v>71</v>
      </c>
      <c r="Q43" s="6" t="s">
        <v>212</v>
      </c>
      <c r="R43" s="6">
        <v>147.16800000000001</v>
      </c>
      <c r="S43" s="6">
        <v>4</v>
      </c>
      <c r="T43" s="6">
        <v>0.2</v>
      </c>
      <c r="U43" s="6">
        <v>16.556399999999996</v>
      </c>
    </row>
    <row r="44" spans="1:21" x14ac:dyDescent="0.35">
      <c r="A44" s="5">
        <v>43</v>
      </c>
      <c r="B44" s="6" t="s">
        <v>213</v>
      </c>
      <c r="C44" s="7">
        <v>42568</v>
      </c>
      <c r="D44" s="7">
        <v>42573</v>
      </c>
      <c r="E44" s="6" t="s">
        <v>49</v>
      </c>
      <c r="F44" s="6" t="s">
        <v>214</v>
      </c>
      <c r="G44" s="6" t="s">
        <v>215</v>
      </c>
      <c r="H44" s="6" t="s">
        <v>40</v>
      </c>
      <c r="I44" s="6" t="s">
        <v>26</v>
      </c>
      <c r="J44" s="6" t="s">
        <v>41</v>
      </c>
      <c r="K44" s="6" t="s">
        <v>42</v>
      </c>
      <c r="L44" s="6">
        <v>90049</v>
      </c>
      <c r="M44" s="6" t="s">
        <v>43</v>
      </c>
      <c r="N44" s="6" t="s">
        <v>216</v>
      </c>
      <c r="O44" s="6" t="s">
        <v>45</v>
      </c>
      <c r="P44" s="6" t="s">
        <v>58</v>
      </c>
      <c r="Q44" s="6" t="s">
        <v>217</v>
      </c>
      <c r="R44" s="6">
        <v>77.88</v>
      </c>
      <c r="S44" s="6">
        <v>2</v>
      </c>
      <c r="T44" s="6">
        <v>0</v>
      </c>
      <c r="U44" s="6">
        <v>3.8939999999999912</v>
      </c>
    </row>
    <row r="45" spans="1:21" x14ac:dyDescent="0.35">
      <c r="A45" s="5">
        <v>44</v>
      </c>
      <c r="B45" s="6" t="s">
        <v>218</v>
      </c>
      <c r="C45" s="7">
        <v>42997</v>
      </c>
      <c r="D45" s="7">
        <v>43001</v>
      </c>
      <c r="E45" s="6" t="s">
        <v>49</v>
      </c>
      <c r="F45" s="6" t="s">
        <v>219</v>
      </c>
      <c r="G45" s="6" t="s">
        <v>220</v>
      </c>
      <c r="H45" s="6" t="s">
        <v>40</v>
      </c>
      <c r="I45" s="6" t="s">
        <v>26</v>
      </c>
      <c r="J45" s="6" t="s">
        <v>221</v>
      </c>
      <c r="K45" s="6" t="s">
        <v>53</v>
      </c>
      <c r="L45" s="6">
        <v>32935</v>
      </c>
      <c r="M45" s="6" t="s">
        <v>29</v>
      </c>
      <c r="N45" s="6" t="s">
        <v>222</v>
      </c>
      <c r="O45" s="6" t="s">
        <v>45</v>
      </c>
      <c r="P45" s="6" t="s">
        <v>58</v>
      </c>
      <c r="Q45" s="6" t="s">
        <v>223</v>
      </c>
      <c r="R45" s="6">
        <v>95.616</v>
      </c>
      <c r="S45" s="6">
        <v>2</v>
      </c>
      <c r="T45" s="6">
        <v>0.2</v>
      </c>
      <c r="U45" s="6">
        <v>9.5616000000000092</v>
      </c>
    </row>
    <row r="46" spans="1:21" x14ac:dyDescent="0.35">
      <c r="A46" s="5">
        <v>45</v>
      </c>
      <c r="B46" s="6" t="s">
        <v>224</v>
      </c>
      <c r="C46" s="7">
        <v>42440</v>
      </c>
      <c r="D46" s="7">
        <v>42442</v>
      </c>
      <c r="E46" s="6" t="s">
        <v>187</v>
      </c>
      <c r="F46" s="6" t="s">
        <v>225</v>
      </c>
      <c r="G46" s="6" t="s">
        <v>226</v>
      </c>
      <c r="H46" s="6" t="s">
        <v>40</v>
      </c>
      <c r="I46" s="6" t="s">
        <v>26</v>
      </c>
      <c r="J46" s="6" t="s">
        <v>227</v>
      </c>
      <c r="K46" s="6" t="s">
        <v>228</v>
      </c>
      <c r="L46" s="6">
        <v>55122</v>
      </c>
      <c r="M46" s="6" t="s">
        <v>104</v>
      </c>
      <c r="N46" s="6" t="s">
        <v>229</v>
      </c>
      <c r="O46" s="6" t="s">
        <v>70</v>
      </c>
      <c r="P46" s="6" t="s">
        <v>160</v>
      </c>
      <c r="Q46" s="6" t="s">
        <v>230</v>
      </c>
      <c r="R46" s="6">
        <v>45.98</v>
      </c>
      <c r="S46" s="6">
        <v>2</v>
      </c>
      <c r="T46" s="6">
        <v>0</v>
      </c>
      <c r="U46" s="6">
        <v>19.7714</v>
      </c>
    </row>
    <row r="47" spans="1:21" x14ac:dyDescent="0.35">
      <c r="A47" s="5">
        <v>46</v>
      </c>
      <c r="B47" s="6" t="s">
        <v>224</v>
      </c>
      <c r="C47" s="7">
        <v>42440</v>
      </c>
      <c r="D47" s="7">
        <v>42442</v>
      </c>
      <c r="E47" s="6" t="s">
        <v>187</v>
      </c>
      <c r="F47" s="6" t="s">
        <v>225</v>
      </c>
      <c r="G47" s="6" t="s">
        <v>226</v>
      </c>
      <c r="H47" s="6" t="s">
        <v>40</v>
      </c>
      <c r="I47" s="6" t="s">
        <v>26</v>
      </c>
      <c r="J47" s="6" t="s">
        <v>227</v>
      </c>
      <c r="K47" s="6" t="s">
        <v>228</v>
      </c>
      <c r="L47" s="6">
        <v>55122</v>
      </c>
      <c r="M47" s="6" t="s">
        <v>104</v>
      </c>
      <c r="N47" s="6" t="s">
        <v>231</v>
      </c>
      <c r="O47" s="6" t="s">
        <v>45</v>
      </c>
      <c r="P47" s="6" t="s">
        <v>74</v>
      </c>
      <c r="Q47" s="6" t="s">
        <v>232</v>
      </c>
      <c r="R47" s="6">
        <v>17.46</v>
      </c>
      <c r="S47" s="6">
        <v>2</v>
      </c>
      <c r="T47" s="6">
        <v>0</v>
      </c>
      <c r="U47" s="6">
        <v>8.2061999999999991</v>
      </c>
    </row>
    <row r="48" spans="1:21" x14ac:dyDescent="0.35">
      <c r="A48" s="5">
        <v>47</v>
      </c>
      <c r="B48" s="6" t="s">
        <v>233</v>
      </c>
      <c r="C48" s="7">
        <v>41932</v>
      </c>
      <c r="D48" s="7">
        <v>41937</v>
      </c>
      <c r="E48" s="6" t="s">
        <v>22</v>
      </c>
      <c r="F48" s="6" t="s">
        <v>234</v>
      </c>
      <c r="G48" s="6" t="s">
        <v>235</v>
      </c>
      <c r="H48" s="6" t="s">
        <v>25</v>
      </c>
      <c r="I48" s="6" t="s">
        <v>26</v>
      </c>
      <c r="J48" s="6" t="s">
        <v>236</v>
      </c>
      <c r="K48" s="6" t="s">
        <v>237</v>
      </c>
      <c r="L48" s="6">
        <v>48185</v>
      </c>
      <c r="M48" s="6" t="s">
        <v>104</v>
      </c>
      <c r="N48" s="6" t="s">
        <v>238</v>
      </c>
      <c r="O48" s="6" t="s">
        <v>45</v>
      </c>
      <c r="P48" s="6" t="s">
        <v>58</v>
      </c>
      <c r="Q48" s="6" t="s">
        <v>239</v>
      </c>
      <c r="R48" s="6">
        <v>211.96</v>
      </c>
      <c r="S48" s="6">
        <v>4</v>
      </c>
      <c r="T48" s="6">
        <v>0</v>
      </c>
      <c r="U48" s="6">
        <v>8.4783999999999935</v>
      </c>
    </row>
    <row r="49" spans="1:22" x14ac:dyDescent="0.35">
      <c r="A49" s="5">
        <v>48</v>
      </c>
      <c r="B49" s="6" t="s">
        <v>240</v>
      </c>
      <c r="C49" s="7">
        <v>42541</v>
      </c>
      <c r="D49" s="7">
        <v>42546</v>
      </c>
      <c r="E49" s="6" t="s">
        <v>49</v>
      </c>
      <c r="F49" s="6" t="s">
        <v>241</v>
      </c>
      <c r="G49" s="6" t="s">
        <v>242</v>
      </c>
      <c r="H49" s="6" t="s">
        <v>25</v>
      </c>
      <c r="I49" s="6" t="s">
        <v>26</v>
      </c>
      <c r="J49" s="6" t="s">
        <v>243</v>
      </c>
      <c r="K49" s="6" t="s">
        <v>244</v>
      </c>
      <c r="L49" s="6">
        <v>19901</v>
      </c>
      <c r="M49" s="6" t="s">
        <v>147</v>
      </c>
      <c r="N49" s="6" t="s">
        <v>245</v>
      </c>
      <c r="O49" s="6" t="s">
        <v>70</v>
      </c>
      <c r="P49" s="6" t="s">
        <v>160</v>
      </c>
      <c r="Q49" s="6" t="s">
        <v>246</v>
      </c>
      <c r="R49" s="6">
        <v>45</v>
      </c>
      <c r="S49" s="6">
        <v>3</v>
      </c>
      <c r="T49" s="6">
        <v>0</v>
      </c>
      <c r="U49" s="6">
        <v>4.9500000000000011</v>
      </c>
    </row>
    <row r="50" spans="1:22" x14ac:dyDescent="0.35">
      <c r="A50" s="5">
        <v>49</v>
      </c>
      <c r="B50" s="6" t="s">
        <v>240</v>
      </c>
      <c r="C50" s="7">
        <v>42541</v>
      </c>
      <c r="D50" s="7">
        <v>42546</v>
      </c>
      <c r="E50" s="6" t="s">
        <v>49</v>
      </c>
      <c r="F50" s="6" t="s">
        <v>241</v>
      </c>
      <c r="G50" s="6" t="s">
        <v>242</v>
      </c>
      <c r="H50" s="6" t="s">
        <v>25</v>
      </c>
      <c r="I50" s="6" t="s">
        <v>26</v>
      </c>
      <c r="J50" s="6" t="s">
        <v>243</v>
      </c>
      <c r="K50" s="6" t="s">
        <v>244</v>
      </c>
      <c r="L50" s="6">
        <v>19901</v>
      </c>
      <c r="M50" s="6" t="s">
        <v>147</v>
      </c>
      <c r="N50" s="6" t="s">
        <v>247</v>
      </c>
      <c r="O50" s="6" t="s">
        <v>70</v>
      </c>
      <c r="P50" s="6" t="s">
        <v>71</v>
      </c>
      <c r="Q50" s="6" t="s">
        <v>248</v>
      </c>
      <c r="R50" s="6">
        <v>21.8</v>
      </c>
      <c r="S50" s="6">
        <v>2</v>
      </c>
      <c r="T50" s="6">
        <v>0</v>
      </c>
      <c r="U50" s="6">
        <v>6.104000000000001</v>
      </c>
    </row>
    <row r="51" spans="1:22" x14ac:dyDescent="0.35">
      <c r="R51">
        <f>SUM(sales)</f>
        <v>15000.998699999996</v>
      </c>
      <c r="S51">
        <f>SUM(quantity)</f>
        <v>190</v>
      </c>
      <c r="U51">
        <f>SUM(profit)</f>
        <v>-1045.7538000000002</v>
      </c>
      <c r="V51" t="s">
        <v>264</v>
      </c>
    </row>
    <row r="52" spans="1:22" x14ac:dyDescent="0.35">
      <c r="R52" s="2" t="s">
        <v>265</v>
      </c>
    </row>
  </sheetData>
  <autoFilter ref="D1:D50"/>
  <conditionalFormatting sqref="R1:R50">
    <cfRule type="top10" dxfId="4" priority="5" rank="10"/>
  </conditionalFormatting>
  <conditionalFormatting sqref="U1:U50">
    <cfRule type="top10" dxfId="3" priority="4" bottom="1" rank="10"/>
  </conditionalFormatting>
  <conditionalFormatting sqref="H1:H50">
    <cfRule type="containsText" dxfId="2" priority="1" operator="containsText" text="consumer">
      <formula>NOT(ISERROR(SEARCH("consumer",H1)))</formula>
    </cfRule>
    <cfRule type="containsText" dxfId="1" priority="2" operator="containsText" text="home office">
      <formula>NOT(ISERROR(SEARCH("home office",H1)))</formula>
    </cfRule>
    <cfRule type="containsText" dxfId="0" priority="3" operator="containsText" text="corporate">
      <formula>NOT(ISERROR(SEARCH("corporate",H1)))</formula>
    </cfRule>
  </conditionalFormatting>
  <hyperlinks>
    <hyperlink ref="R52" r:id="rId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DAF289-3A63-429A-AE5B-3534CD3502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pivot practicals</vt:lpstr>
      <vt:lpstr>Sheet4</vt:lpstr>
      <vt:lpstr>profit</vt:lpstr>
      <vt:lpstr>quantity</vt:lpstr>
      <vt:lpstr>sales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2025-08-11T05:45:25Z</dcterms:created>
  <dcterms:modified xsi:type="dcterms:W3CDTF">2026-05-05T16:57:46Z</dcterms:modified>
</cp:coreProperties>
</file>